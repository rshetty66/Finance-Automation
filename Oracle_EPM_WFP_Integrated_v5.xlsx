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Workbook Index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Milestones &amp; RACI" sheetId="3" state="visible" r:id="rId3"/>
    <sheet xmlns:r="http://schemas.openxmlformats.org/officeDocument/2006/relationships" name="Parallel Run — Gantt" sheetId="4" state="visible" r:id="rId4"/>
    <sheet xmlns:r="http://schemas.openxmlformats.org/officeDocument/2006/relationships" name="Parallel Run — Governance" sheetId="5" state="visible" r:id="rId5"/>
    <sheet xmlns:r="http://schemas.openxmlformats.org/officeDocument/2006/relationships" name="Requirements Register" sheetId="6" state="visible" r:id="rId6"/>
    <sheet xmlns:r="http://schemas.openxmlformats.org/officeDocument/2006/relationships" name="Sprint Plan — Requirements" sheetId="7" state="visible" r:id="rId7"/>
    <sheet xmlns:r="http://schemas.openxmlformats.org/officeDocument/2006/relationships" name="Calc Rules Register" sheetId="8" state="visible" r:id="rId8"/>
    <sheet xmlns:r="http://schemas.openxmlformats.org/officeDocument/2006/relationships" name="PBP Architecture" sheetId="9" state="visible" r:id="rId9"/>
    <sheet xmlns:r="http://schemas.openxmlformats.org/officeDocument/2006/relationships" name="Sprint Deliverables" sheetId="10" state="visible" r:id="rId10"/>
  </sheets>
  <definedNames>
    <definedName name="_xlnm.Print_Area" localSheetId="1">'Project Plan'!$A$1:$AD$178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-MMM"/>
    <numFmt numFmtId="165" formatCode="DD-MMM-YY"/>
    <numFmt numFmtId="166" formatCode="0 &quot;d&quot;"/>
    <numFmt numFmtId="167" formatCode="0 &quot;days&quot;"/>
    <numFmt numFmtId="168" formatCode="DD-MMM"/>
  </numFmts>
  <fonts count="8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3864"/>
      <sz val="8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FFFFFF"/>
      <sz val="8"/>
    </font>
    <font>
      <name val="Calibri"/>
      <i val="1"/>
      <color rgb="00BBBBBB"/>
      <sz val="6"/>
    </font>
    <font>
      <name val="Calibri"/>
      <color rgb="00BBBBBB"/>
      <sz val="6"/>
    </font>
    <font>
      <name val="Calibri"/>
      <b val="1"/>
      <color rgb="00FFFFFF"/>
      <sz val="10"/>
    </font>
    <font>
      <name val="Calibri"/>
      <color rgb="00595959"/>
      <sz val="7"/>
    </font>
    <font>
      <name val="Calibri"/>
      <b val="1"/>
      <color rgb="00000000"/>
      <sz val="9"/>
    </font>
    <font>
      <name val="Calibri"/>
      <i val="1"/>
      <color rgb="00595959"/>
      <sz val="7"/>
    </font>
    <font>
      <name val="Calibri"/>
      <b val="1"/>
      <color rgb="001F497D"/>
      <sz val="8"/>
    </font>
    <font>
      <name val="Calibri"/>
      <b val="1"/>
      <color rgb="00375623"/>
      <sz val="7"/>
    </font>
    <font>
      <name val="Calibri"/>
      <i val="1"/>
      <color rgb="00333333"/>
      <sz val="8"/>
    </font>
    <font>
      <name val="Calibri"/>
      <color rgb="001F497D"/>
      <sz val="8"/>
    </font>
    <font>
      <name val="Calibri"/>
      <b val="1"/>
      <color rgb="002E5090"/>
      <sz val="7"/>
    </font>
    <font>
      <name val="Calibri"/>
      <b val="1"/>
      <color rgb="004472C4"/>
      <sz val="9"/>
    </font>
    <font>
      <name val="Calibri"/>
      <i val="1"/>
      <color rgb="00595959"/>
      <sz val="8"/>
    </font>
    <font>
      <name val="Calibri"/>
      <b val="1"/>
      <color rgb="004472C4"/>
      <sz val="8"/>
    </font>
    <font>
      <name val="Calibri"/>
      <color rgb="00595959"/>
      <sz val="8"/>
    </font>
    <font>
      <name val="Calibri"/>
      <b val="1"/>
      <color rgb="007030A0"/>
      <sz val="10"/>
    </font>
    <font>
      <name val="Calibri"/>
      <b val="1"/>
      <color rgb="007030A0"/>
      <sz val="9"/>
    </font>
    <font>
      <name val="Calibri"/>
      <b val="1"/>
      <color rgb="007030A0"/>
      <sz val="8"/>
    </font>
    <font>
      <name val="Calibri"/>
      <b val="1"/>
      <color rgb="009DC3E6"/>
      <sz val="9"/>
    </font>
    <font>
      <name val="Calibri"/>
      <b val="1"/>
      <color rgb="009DC3E6"/>
      <sz val="8"/>
    </font>
    <font>
      <name val="Calibri"/>
      <b val="1"/>
      <color rgb="0070AD47"/>
      <sz val="9"/>
    </font>
    <font>
      <name val="Calibri"/>
      <b val="1"/>
      <color rgb="0070AD47"/>
      <sz val="8"/>
    </font>
    <font>
      <name val="Calibri"/>
      <b val="1"/>
      <color rgb="00833C00"/>
      <sz val="7"/>
    </font>
    <font>
      <name val="Calibri"/>
      <b val="1"/>
      <color rgb="00C00000"/>
      <sz val="9"/>
    </font>
    <font>
      <name val="Calibri"/>
      <b val="1"/>
      <color rgb="00C00000"/>
      <sz val="8"/>
    </font>
    <font>
      <name val="Calibri"/>
      <b val="1"/>
      <color rgb="00E36C09"/>
      <sz val="9"/>
    </font>
    <font>
      <name val="Calibri"/>
      <b val="1"/>
      <color rgb="00E36C09"/>
      <sz val="8"/>
    </font>
    <font>
      <name val="Calibri"/>
      <b val="1"/>
      <color rgb="00833C00"/>
      <sz val="9"/>
    </font>
    <font>
      <name val="Calibri"/>
      <b val="1"/>
      <color rgb="00833C00"/>
      <sz val="8"/>
    </font>
    <font>
      <name val="Calibri"/>
      <b val="1"/>
      <color rgb="00808080"/>
      <sz val="9"/>
    </font>
    <font>
      <name val="Calibri"/>
      <b val="1"/>
      <color rgb="00808080"/>
      <sz val="8"/>
    </font>
    <font>
      <name val="Calibri"/>
      <b val="1"/>
      <color rgb="00FFFFFF"/>
      <sz val="12"/>
    </font>
    <font>
      <name val="Calibri"/>
      <color rgb="00000000"/>
      <sz val="8"/>
    </font>
    <font>
      <name val="Calibri"/>
      <b val="1"/>
      <color rgb="00000000"/>
      <sz val="8"/>
    </font>
    <font>
      <name val="Calibri"/>
      <b val="1"/>
      <color rgb="00375623"/>
      <sz val="8"/>
    </font>
    <font>
      <name val="Calibri"/>
      <b val="1"/>
      <color rgb="002E5090"/>
      <sz val="8"/>
    </font>
    <font>
      <name val="Calibri"/>
      <color rgb="00000000"/>
      <sz val="9"/>
    </font>
    <font>
      <name val="Calibri"/>
      <b val="1"/>
      <color rgb="00FFFFFF"/>
      <sz val="13"/>
    </font>
    <font>
      <name val="Calibri"/>
      <i val="1"/>
      <color rgb="00833C00"/>
      <sz val="8"/>
    </font>
    <font>
      <name val="Calibri"/>
      <b val="1"/>
      <color rgb="009C0006"/>
      <sz val="8"/>
    </font>
    <font>
      <name val="Calibri"/>
      <b val="1"/>
      <color rgb="007F6000"/>
      <sz val="8"/>
    </font>
    <font>
      <name val="Calibri"/>
      <b val="1"/>
      <color rgb="001F3864"/>
      <sz val="8"/>
    </font>
    <font>
      <name val="Calibri"/>
      <i val="1"/>
      <color rgb="00555555"/>
      <sz val="7"/>
    </font>
    <font>
      <name val="Calibri"/>
      <b val="1"/>
      <color rgb="005BA830"/>
      <sz val="8"/>
    </font>
    <font>
      <name val="Calibri"/>
      <b val="1"/>
      <color rgb="003D8020"/>
      <sz val="8"/>
    </font>
    <font>
      <name val="Calibri"/>
      <b val="1"/>
      <color rgb="0000868B"/>
      <sz val="8"/>
    </font>
    <font>
      <name val="Calibri"/>
      <b val="1"/>
      <color rgb="00206010"/>
      <sz val="8"/>
    </font>
    <font>
      <name val="Calibri"/>
      <b val="1"/>
      <color rgb="0000B0C8"/>
      <sz val="8"/>
    </font>
    <font>
      <name val="Calibri"/>
      <b val="1"/>
      <color rgb="00404040"/>
      <sz val="8"/>
    </font>
    <font>
      <name val="Calibri"/>
      <b val="1"/>
      <color rgb="00C74634"/>
      <sz val="8"/>
    </font>
    <font>
      <name val="Calibri"/>
      <i val="1"/>
      <color rgb="002E5090"/>
      <sz val="8"/>
    </font>
    <font>
      <name val="Calibri"/>
      <i val="1"/>
      <color rgb="007030A0"/>
      <sz val="8"/>
    </font>
    <font>
      <name val="Calibri"/>
      <b val="1"/>
      <color rgb="002E6B1F"/>
      <sz val="8"/>
    </font>
    <font>
      <name val="Calibri"/>
      <b val="1"/>
      <color rgb="005C8525"/>
      <sz val="8"/>
    </font>
    <font>
      <name val="Calibri"/>
      <b val="1"/>
      <color rgb="004A7A1F"/>
      <sz val="8"/>
    </font>
    <font>
      <name val="Calibri"/>
      <b val="1"/>
      <color rgb="006D5A00"/>
      <sz val="8"/>
    </font>
    <font>
      <name val="Calibri"/>
      <b val="1"/>
      <color rgb="005C3000"/>
      <sz val="8"/>
    </font>
    <font>
      <name val="Calibri"/>
      <b val="1"/>
      <color rgb="00006D70"/>
      <sz val="8"/>
    </font>
    <font>
      <name val="Calibri"/>
      <b val="1"/>
      <color rgb="00004060"/>
      <sz val="8"/>
    </font>
    <font>
      <name val="Calibri"/>
      <b val="1"/>
      <color rgb="00003050"/>
      <sz val="8"/>
    </font>
    <font>
      <name val="Calibri"/>
      <b val="1"/>
      <color rgb="00502080"/>
      <sz val="8"/>
    </font>
    <font>
      <name val="Calibri"/>
      <b val="1"/>
      <color rgb="00303030"/>
      <sz val="8"/>
    </font>
    <font>
      <name val="Calibri"/>
      <b val="1"/>
      <color rgb="001A5C3A"/>
      <sz val="8"/>
    </font>
    <font>
      <name val="Calibri"/>
      <b val="1"/>
      <color rgb="00583700"/>
      <sz val="8"/>
    </font>
    <font>
      <name val="Calibri"/>
      <color rgb="00333333"/>
      <sz val="8"/>
    </font>
    <font>
      <name val="Calibri"/>
      <i val="1"/>
      <color rgb="00AAAAAA"/>
      <sz val="9"/>
    </font>
    <font>
      <name val="Calibri"/>
      <b val="1"/>
      <color rgb="00C74634"/>
      <sz val="9"/>
    </font>
    <font>
      <name val="Calibri"/>
      <i val="1"/>
      <color rgb="00888888"/>
      <sz val="8"/>
    </font>
    <font>
      <name val="Calibri"/>
      <b val="1"/>
      <color rgb="001F3864"/>
      <sz val="9"/>
    </font>
    <font>
      <name val="Calibri"/>
      <b val="1"/>
      <color rgb="00333333"/>
      <sz val="9"/>
    </font>
    <font>
      <name val="Calibri"/>
      <b val="1"/>
      <color rgb="005C3000"/>
      <sz val="9"/>
    </font>
    <font>
      <name val="Calibri"/>
      <b val="1"/>
      <color rgb="002E5090"/>
      <sz val="9"/>
    </font>
    <font>
      <name val="Calibri"/>
      <b val="1"/>
      <color rgb="0000868B"/>
      <sz val="9"/>
    </font>
    <font>
      <name val="Calibri"/>
      <b val="1"/>
      <color rgb="00C74634"/>
      <sz val="10"/>
    </font>
    <font>
      <name val="Calibri"/>
      <color rgb="00666666"/>
      <sz val="8"/>
    </font>
    <font>
      <name val="Calibri"/>
      <b val="1"/>
      <color rgb="004472C4"/>
      <sz val="10"/>
    </font>
    <font>
      <name val="Calibri"/>
      <b val="1"/>
      <color rgb="0070AD47"/>
      <sz val="10"/>
    </font>
    <font>
      <name val="Calibri"/>
      <b val="1"/>
      <color rgb="00833C00"/>
      <sz val="10"/>
    </font>
    <font>
      <name val="Calibri"/>
      <b val="1"/>
      <color rgb="0000868B"/>
      <sz val="10"/>
    </font>
  </fonts>
  <fills count="46">
    <fill>
      <patternFill/>
    </fill>
    <fill>
      <patternFill patternType="gray125"/>
    </fill>
    <fill>
      <patternFill patternType="solid">
        <fgColor rgb="00C74634"/>
      </patternFill>
    </fill>
    <fill>
      <patternFill patternType="solid">
        <fgColor rgb="00DEEAF1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7030A0"/>
      </patternFill>
    </fill>
    <fill>
      <patternFill patternType="solid">
        <fgColor rgb="00833C00"/>
      </patternFill>
    </fill>
    <fill>
      <patternFill patternType="solid">
        <fgColor rgb="00808080"/>
      </patternFill>
    </fill>
    <fill>
      <patternFill patternType="solid">
        <fgColor rgb="00303030"/>
      </patternFill>
    </fill>
    <fill>
      <patternFill patternType="solid">
        <fgColor rgb="00404040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E8F0FD"/>
      </patternFill>
    </fill>
    <fill>
      <patternFill patternType="solid">
        <fgColor rgb="00F0F4FA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2E5090"/>
      </patternFill>
    </fill>
    <fill>
      <patternFill patternType="solid">
        <fgColor rgb="00F4E6D7"/>
      </patternFill>
    </fill>
    <fill>
      <patternFill patternType="solid">
        <fgColor rgb="005BA830"/>
      </patternFill>
    </fill>
    <fill>
      <patternFill patternType="solid">
        <fgColor rgb="003D8020"/>
      </patternFill>
    </fill>
    <fill>
      <patternFill patternType="solid">
        <fgColor rgb="00206010"/>
      </patternFill>
    </fill>
    <fill>
      <patternFill patternType="solid">
        <fgColor rgb="0000B0C8"/>
      </patternFill>
    </fill>
    <fill>
      <patternFill patternType="solid">
        <fgColor rgb="002E6B1F"/>
      </patternFill>
    </fill>
    <fill>
      <patternFill patternType="solid">
        <fgColor rgb="005C8525"/>
      </patternFill>
    </fill>
    <fill>
      <patternFill patternType="solid">
        <fgColor rgb="004A7A1F"/>
      </patternFill>
    </fill>
    <fill>
      <patternFill patternType="solid">
        <fgColor rgb="006D5A00"/>
      </patternFill>
    </fill>
    <fill>
      <patternFill patternType="solid">
        <fgColor rgb="005C3000"/>
      </patternFill>
    </fill>
    <fill>
      <patternFill patternType="solid">
        <fgColor rgb="00006D70"/>
      </patternFill>
    </fill>
    <fill>
      <patternFill patternType="solid">
        <fgColor rgb="00004060"/>
      </patternFill>
    </fill>
    <fill>
      <patternFill patternType="solid">
        <fgColor rgb="00003050"/>
      </patternFill>
    </fill>
    <fill>
      <patternFill patternType="solid">
        <fgColor rgb="00502080"/>
      </patternFill>
    </fill>
    <fill>
      <patternFill patternType="solid">
        <fgColor rgb="001A5C3A"/>
      </patternFill>
    </fill>
    <fill>
      <patternFill patternType="solid">
        <fgColor rgb="00583700"/>
      </patternFill>
    </fill>
    <fill>
      <patternFill patternType="solid">
        <fgColor rgb="000A0E1A"/>
      </patternFill>
    </fill>
    <fill>
      <patternFill patternType="solid">
        <fgColor rgb="001A1A1A"/>
      </patternFill>
    </fill>
    <fill>
      <patternFill patternType="solid">
        <fgColor rgb="000D1120"/>
      </patternFill>
    </fill>
  </fills>
  <borders count="19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hair">
        <color rgb="00DDDDDD"/>
      </left>
      <right style="hair">
        <color rgb="00DDDDDD"/>
      </right>
      <top style="hair">
        <color rgb="00DDDDDD"/>
      </top>
      <bottom style="hair">
        <color rgb="00DDDDDD"/>
      </bottom>
    </border>
    <border>
      <left style="thin">
        <color rgb="009BC2E6"/>
      </left>
      <right style="thin">
        <color rgb="009BC2E6"/>
      </right>
      <top style="thin">
        <color rgb="009BC2E6"/>
      </top>
      <bottom style="thin">
        <color rgb="009BC2E6"/>
      </bottom>
    </border>
    <border>
      <top style="hair">
        <color rgb="00EEEEEE"/>
      </top>
      <bottom style="hair">
        <color rgb="00EEEEEE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BBAA00"/>
      </left>
      <right style="thin">
        <color rgb="00BBAA00"/>
      </right>
      <top style="thin">
        <color rgb="00BBAA00"/>
      </top>
      <bottom style="thin">
        <color rgb="00BBAA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hair">
        <color rgb="00DDDDDD"/>
      </top>
      <bottom/>
      <diagonal/>
    </border>
    <border>
      <left/>
      <right style="hair">
        <color rgb="00DDDDDD"/>
      </right>
      <top style="hair">
        <color rgb="00DDDDDD"/>
      </top>
      <bottom/>
      <diagonal/>
    </border>
    <border>
      <left/>
      <right style="hair">
        <color rgb="00DDDDDD"/>
      </right>
      <top style="hair">
        <color rgb="00DDDDDD"/>
      </top>
      <bottom style="hair">
        <color rgb="00DDDDDD"/>
      </bottom>
      <diagonal/>
    </border>
    <border>
      <left style="hair">
        <color rgb="001A2030"/>
      </left>
      <right style="hair">
        <color rgb="001A2030"/>
      </right>
      <top style="hair">
        <color rgb="001A2030"/>
      </top>
      <bottom style="hair">
        <color rgb="001A2030"/>
      </bottom>
    </border>
    <border>
      <left/>
      <right/>
      <top style="hair">
        <color rgb="001A2030"/>
      </top>
      <bottom/>
      <diagonal/>
    </border>
    <border>
      <left/>
      <right style="hair">
        <color rgb="001A2030"/>
      </right>
      <top style="hair">
        <color rgb="001A2030"/>
      </top>
      <bottom/>
      <diagonal/>
    </border>
    <border>
      <left/>
      <right style="hair">
        <color rgb="001A2030"/>
      </right>
      <top style="hair">
        <color rgb="001A2030"/>
      </top>
      <bottom style="hair">
        <color rgb="001A2030"/>
      </bottom>
      <diagonal/>
    </border>
  </borders>
  <cellStyleXfs count="1">
    <xf numFmtId="0" fontId="0" fillId="0" borderId="0"/>
  </cellStyleXfs>
  <cellXfs count="28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4" fillId="1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4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13" borderId="0" pivotButton="0" quotePrefix="0" xfId="0"/>
    <xf numFmtId="0" fontId="5" fillId="14" borderId="0" applyAlignment="1" pivotButton="0" quotePrefix="0" xfId="0">
      <alignment horizontal="center" vertical="center"/>
    </xf>
    <xf numFmtId="0" fontId="6" fillId="15" borderId="0" pivotButton="0" quotePrefix="0" xfId="0"/>
    <xf numFmtId="164" fontId="7" fillId="15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8" fillId="4" borderId="0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left" vertical="center"/>
    </xf>
    <xf numFmtId="0" fontId="11" fillId="16" borderId="2" applyAlignment="1" pivotButton="0" quotePrefix="0" xfId="0">
      <alignment horizontal="center" vertical="center"/>
    </xf>
    <xf numFmtId="165" fontId="12" fillId="17" borderId="3" applyAlignment="1" pivotButton="0" quotePrefix="0" xfId="0">
      <alignment horizontal="center" vertical="center"/>
    </xf>
    <xf numFmtId="166" fontId="9" fillId="16" borderId="2" applyAlignment="1" pivotButton="0" quotePrefix="0" xfId="0">
      <alignment horizontal="center" vertical="center"/>
    </xf>
    <xf numFmtId="0" fontId="13" fillId="18" borderId="2" applyAlignment="1" pivotButton="0" quotePrefix="0" xfId="0">
      <alignment horizontal="center" vertical="center"/>
    </xf>
    <xf numFmtId="0" fontId="0" fillId="15" borderId="4" pivotButton="0" quotePrefix="0" xfId="0"/>
    <xf numFmtId="0" fontId="9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left" vertical="center"/>
    </xf>
    <xf numFmtId="0" fontId="11" fillId="19" borderId="2" applyAlignment="1" pivotButton="0" quotePrefix="0" xfId="0">
      <alignment horizontal="center" vertical="center"/>
    </xf>
    <xf numFmtId="165" fontId="15" fillId="17" borderId="3" applyAlignment="1" pivotButton="0" quotePrefix="0" xfId="0">
      <alignment horizontal="center" vertical="center"/>
    </xf>
    <xf numFmtId="166" fontId="9" fillId="19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4" fillId="16" borderId="2" applyAlignment="1" pivotButton="0" quotePrefix="0" xfId="0">
      <alignment horizontal="left" vertical="center"/>
    </xf>
    <xf numFmtId="0" fontId="0" fillId="20" borderId="5" pivotButton="0" quotePrefix="0" xfId="0"/>
    <xf numFmtId="0" fontId="17" fillId="20" borderId="5" applyAlignment="1" pivotButton="0" quotePrefix="0" xfId="0">
      <alignment horizontal="left" vertical="center"/>
    </xf>
    <xf numFmtId="0" fontId="18" fillId="20" borderId="5" pivotButton="0" quotePrefix="0" xfId="0"/>
    <xf numFmtId="165" fontId="19" fillId="20" borderId="5" pivotButton="0" quotePrefix="0" xfId="0"/>
    <xf numFmtId="167" fontId="20" fillId="20" borderId="5" pivotButton="0" quotePrefix="0" xfId="0"/>
    <xf numFmtId="0" fontId="19" fillId="20" borderId="5" applyAlignment="1" pivotButton="0" quotePrefix="0" xfId="0">
      <alignment horizontal="center" vertical="center"/>
    </xf>
    <xf numFmtId="0" fontId="0" fillId="21" borderId="0" pivotButton="0" quotePrefix="0" xfId="0"/>
    <xf numFmtId="0" fontId="21" fillId="22" borderId="6" applyAlignment="1" pivotButton="0" quotePrefix="0" xfId="0">
      <alignment horizontal="center" vertical="center"/>
    </xf>
    <xf numFmtId="0" fontId="22" fillId="22" borderId="6" pivotButton="0" quotePrefix="0" xfId="0"/>
    <xf numFmtId="0" fontId="18" fillId="22" borderId="6" pivotButton="0" quotePrefix="0" xfId="0"/>
    <xf numFmtId="165" fontId="22" fillId="22" borderId="6" pivotButton="0" quotePrefix="0" xfId="0"/>
    <xf numFmtId="0" fontId="0" fillId="22" borderId="6" pivotButton="0" quotePrefix="0" xfId="0"/>
    <xf numFmtId="0" fontId="23" fillId="22" borderId="6" applyAlignment="1" pivotButton="0" quotePrefix="0" xfId="0">
      <alignment horizontal="center" vertical="center"/>
    </xf>
    <xf numFmtId="0" fontId="0" fillId="23" borderId="0" pivotButton="0" quotePrefix="0" xfId="0"/>
    <xf numFmtId="0" fontId="24" fillId="20" borderId="5" applyAlignment="1" pivotButton="0" quotePrefix="0" xfId="0">
      <alignment horizontal="left" vertical="center"/>
    </xf>
    <xf numFmtId="165" fontId="25" fillId="20" borderId="5" pivotButton="0" quotePrefix="0" xfId="0"/>
    <xf numFmtId="0" fontId="25" fillId="20" borderId="5" applyAlignment="1" pivotButton="0" quotePrefix="0" xfId="0">
      <alignment horizontal="center" vertical="center"/>
    </xf>
    <xf numFmtId="0" fontId="10" fillId="19" borderId="2" applyAlignment="1" pivotButton="0" quotePrefix="0" xfId="0">
      <alignment horizontal="left" vertical="center"/>
    </xf>
    <xf numFmtId="0" fontId="26" fillId="20" borderId="5" applyAlignment="1" pivotButton="0" quotePrefix="0" xfId="0">
      <alignment horizontal="left" vertical="center"/>
    </xf>
    <xf numFmtId="165" fontId="27" fillId="20" borderId="5" pivotButton="0" quotePrefix="0" xfId="0"/>
    <xf numFmtId="0" fontId="27" fillId="20" borderId="5" applyAlignment="1" pivotButton="0" quotePrefix="0" xfId="0">
      <alignment horizontal="center" vertical="center"/>
    </xf>
    <xf numFmtId="0" fontId="28" fillId="24" borderId="2" applyAlignment="1" pivotButton="0" quotePrefix="0" xfId="0">
      <alignment horizontal="center" vertical="center"/>
    </xf>
    <xf numFmtId="0" fontId="29" fillId="20" borderId="5" applyAlignment="1" pivotButton="0" quotePrefix="0" xfId="0">
      <alignment horizontal="left" vertical="center"/>
    </xf>
    <xf numFmtId="165" fontId="30" fillId="20" borderId="5" pivotButton="0" quotePrefix="0" xfId="0"/>
    <xf numFmtId="0" fontId="30" fillId="20" borderId="5" applyAlignment="1" pivotButton="0" quotePrefix="0" xfId="0">
      <alignment horizontal="center" vertical="center"/>
    </xf>
    <xf numFmtId="0" fontId="31" fillId="20" borderId="5" applyAlignment="1" pivotButton="0" quotePrefix="0" xfId="0">
      <alignment horizontal="left" vertical="center"/>
    </xf>
    <xf numFmtId="165" fontId="32" fillId="20" borderId="5" pivotButton="0" quotePrefix="0" xfId="0"/>
    <xf numFmtId="0" fontId="32" fillId="20" borderId="5" applyAlignment="1" pivotButton="0" quotePrefix="0" xfId="0">
      <alignment horizontal="center" vertical="center"/>
    </xf>
    <xf numFmtId="0" fontId="22" fillId="20" borderId="5" applyAlignment="1" pivotButton="0" quotePrefix="0" xfId="0">
      <alignment horizontal="left" vertical="center"/>
    </xf>
    <xf numFmtId="165" fontId="23" fillId="20" borderId="5" pivotButton="0" quotePrefix="0" xfId="0"/>
    <xf numFmtId="0" fontId="23" fillId="20" borderId="5" applyAlignment="1" pivotButton="0" quotePrefix="0" xfId="0">
      <alignment horizontal="center" vertical="center"/>
    </xf>
    <xf numFmtId="0" fontId="33" fillId="20" borderId="5" applyAlignment="1" pivotButton="0" quotePrefix="0" xfId="0">
      <alignment horizontal="left" vertical="center"/>
    </xf>
    <xf numFmtId="165" fontId="34" fillId="20" borderId="5" pivotButton="0" quotePrefix="0" xfId="0"/>
    <xf numFmtId="0" fontId="34" fillId="20" borderId="5" applyAlignment="1" pivotButton="0" quotePrefix="0" xfId="0">
      <alignment horizontal="center" vertical="center"/>
    </xf>
    <xf numFmtId="0" fontId="35" fillId="20" borderId="5" applyAlignment="1" pivotButton="0" quotePrefix="0" xfId="0">
      <alignment horizontal="left" vertical="center"/>
    </xf>
    <xf numFmtId="165" fontId="36" fillId="20" borderId="5" pivotButton="0" quotePrefix="0" xfId="0"/>
    <xf numFmtId="0" fontId="36" fillId="20" borderId="5" applyAlignment="1" pivotButton="0" quotePrefix="0" xfId="0">
      <alignment horizontal="center" vertical="center"/>
    </xf>
    <xf numFmtId="0" fontId="2" fillId="3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center" vertical="center"/>
    </xf>
    <xf numFmtId="0" fontId="37" fillId="2" borderId="0" applyAlignment="1" pivotButton="0" quotePrefix="0" xfId="0">
      <alignment horizontal="left" vertical="center"/>
    </xf>
    <xf numFmtId="0" fontId="3" fillId="4" borderId="7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38" fillId="19" borderId="7" applyAlignment="1" pivotButton="0" quotePrefix="0" xfId="0">
      <alignment horizontal="center" vertical="center"/>
    </xf>
    <xf numFmtId="0" fontId="39" fillId="19" borderId="7" applyAlignment="1" pivotButton="0" quotePrefix="0" xfId="0">
      <alignment horizontal="left" vertical="center" wrapText="1"/>
    </xf>
    <xf numFmtId="0" fontId="38" fillId="19" borderId="7" applyAlignment="1" pivotButton="0" quotePrefix="0" xfId="0">
      <alignment horizontal="left" vertical="center" wrapText="1"/>
    </xf>
    <xf numFmtId="0" fontId="40" fillId="19" borderId="7" applyAlignment="1" pivotButton="0" quotePrefix="0" xfId="0">
      <alignment horizontal="left" vertical="center" wrapText="1"/>
    </xf>
    <xf numFmtId="0" fontId="38" fillId="16" borderId="7" applyAlignment="1" pivotButton="0" quotePrefix="0" xfId="0">
      <alignment horizontal="center" vertical="center"/>
    </xf>
    <xf numFmtId="0" fontId="39" fillId="16" borderId="7" applyAlignment="1" pivotButton="0" quotePrefix="0" xfId="0">
      <alignment horizontal="left" vertical="center" wrapText="1"/>
    </xf>
    <xf numFmtId="0" fontId="38" fillId="16" borderId="7" applyAlignment="1" pivotButton="0" quotePrefix="0" xfId="0">
      <alignment horizontal="left" vertical="center" wrapText="1"/>
    </xf>
    <xf numFmtId="0" fontId="40" fillId="16" borderId="7" applyAlignment="1" pivotButton="0" quotePrefix="0" xfId="0">
      <alignment horizontal="left" vertical="center" wrapText="1"/>
    </xf>
    <xf numFmtId="0" fontId="34" fillId="19" borderId="7" applyAlignment="1" pivotButton="0" quotePrefix="0" xfId="0">
      <alignment horizontal="left" vertical="center" wrapText="1"/>
    </xf>
    <xf numFmtId="0" fontId="34" fillId="16" borderId="7" applyAlignment="1" pivotButton="0" quotePrefix="0" xfId="0">
      <alignment horizontal="left" vertical="center" wrapText="1"/>
    </xf>
    <xf numFmtId="0" fontId="41" fillId="19" borderId="7" applyAlignment="1" pivotButton="0" quotePrefix="0" xfId="0">
      <alignment horizontal="left" vertical="center" wrapText="1"/>
    </xf>
    <xf numFmtId="0" fontId="22" fillId="16" borderId="7" applyAlignment="1" pivotButton="0" quotePrefix="0" xfId="0">
      <alignment horizontal="left" vertical="center" wrapText="1"/>
    </xf>
    <xf numFmtId="0" fontId="42" fillId="16" borderId="7" applyAlignment="1" pivotButton="0" quotePrefix="0" xfId="0">
      <alignment horizontal="left" vertical="center" wrapText="1"/>
    </xf>
    <xf numFmtId="0" fontId="22" fillId="19" borderId="7" applyAlignment="1" pivotButton="0" quotePrefix="0" xfId="0">
      <alignment horizontal="left" vertical="center" wrapText="1"/>
    </xf>
    <xf numFmtId="0" fontId="42" fillId="19" borderId="7" applyAlignment="1" pivotButton="0" quotePrefix="0" xfId="0">
      <alignment horizontal="left" vertical="center" wrapText="1"/>
    </xf>
    <xf numFmtId="0" fontId="8" fillId="4" borderId="0" pivotButton="0" quotePrefix="0" xfId="0"/>
    <xf numFmtId="0" fontId="3" fillId="26" borderId="7" applyAlignment="1" pivotButton="0" quotePrefix="0" xfId="0">
      <alignment horizontal="center" vertical="center"/>
    </xf>
    <xf numFmtId="0" fontId="10" fillId="19" borderId="7" applyAlignment="1" pivotButton="0" quotePrefix="0" xfId="0">
      <alignment horizontal="left" vertical="center"/>
    </xf>
    <xf numFmtId="0" fontId="42" fillId="22" borderId="7" applyAlignment="1" pivotButton="0" quotePrefix="0" xfId="0">
      <alignment horizontal="center" vertical="center"/>
    </xf>
    <xf numFmtId="0" fontId="42" fillId="24" borderId="7" applyAlignment="1" pivotButton="0" quotePrefix="0" xfId="0">
      <alignment horizontal="center" vertical="center"/>
    </xf>
    <xf numFmtId="0" fontId="42" fillId="3" borderId="7" applyAlignment="1" pivotButton="0" quotePrefix="0" xfId="0">
      <alignment horizontal="center" vertical="center"/>
    </xf>
    <xf numFmtId="0" fontId="42" fillId="16" borderId="7" applyAlignment="1" pivotButton="0" quotePrefix="0" xfId="0">
      <alignment horizontal="center" vertical="center"/>
    </xf>
    <xf numFmtId="0" fontId="10" fillId="16" borderId="7" applyAlignment="1" pivotButton="0" quotePrefix="0" xfId="0">
      <alignment horizontal="left" vertical="center"/>
    </xf>
    <xf numFmtId="0" fontId="42" fillId="18" borderId="7" applyAlignment="1" pivotButton="0" quotePrefix="0" xfId="0">
      <alignment horizontal="center" vertical="center"/>
    </xf>
    <xf numFmtId="0" fontId="18" fillId="0" borderId="0" pivotButton="0" quotePrefix="0" xfId="0"/>
    <xf numFmtId="164" fontId="7" fillId="15" borderId="0" applyAlignment="1" pivotButton="0" quotePrefix="0" xfId="0">
      <alignment horizontal="center" vertical="center"/>
    </xf>
    <xf numFmtId="165" fontId="12" fillId="17" borderId="3" applyAlignment="1" pivotButton="0" quotePrefix="0" xfId="0">
      <alignment horizontal="center" vertical="center"/>
    </xf>
    <xf numFmtId="166" fontId="9" fillId="16" borderId="2" applyAlignment="1" pivotButton="0" quotePrefix="0" xfId="0">
      <alignment horizontal="center" vertical="center"/>
    </xf>
    <xf numFmtId="165" fontId="15" fillId="17" borderId="3" applyAlignment="1" pivotButton="0" quotePrefix="0" xfId="0">
      <alignment horizontal="center" vertical="center"/>
    </xf>
    <xf numFmtId="166" fontId="9" fillId="19" borderId="2" applyAlignment="1" pivotButton="0" quotePrefix="0" xfId="0">
      <alignment horizontal="center" vertical="center"/>
    </xf>
    <xf numFmtId="165" fontId="19" fillId="20" borderId="5" pivotButton="0" quotePrefix="0" xfId="0"/>
    <xf numFmtId="167" fontId="20" fillId="20" borderId="5" pivotButton="0" quotePrefix="0" xfId="0"/>
    <xf numFmtId="165" fontId="22" fillId="22" borderId="6" pivotButton="0" quotePrefix="0" xfId="0"/>
    <xf numFmtId="165" fontId="25" fillId="20" borderId="5" pivotButton="0" quotePrefix="0" xfId="0"/>
    <xf numFmtId="165" fontId="27" fillId="20" borderId="5" pivotButton="0" quotePrefix="0" xfId="0"/>
    <xf numFmtId="165" fontId="30" fillId="20" borderId="5" pivotButton="0" quotePrefix="0" xfId="0"/>
    <xf numFmtId="165" fontId="32" fillId="20" borderId="5" pivotButton="0" quotePrefix="0" xfId="0"/>
    <xf numFmtId="165" fontId="23" fillId="20" borderId="5" pivotButton="0" quotePrefix="0" xfId="0"/>
    <xf numFmtId="165" fontId="34" fillId="20" borderId="5" pivotButton="0" quotePrefix="0" xfId="0"/>
    <xf numFmtId="165" fontId="36" fillId="20" borderId="5" pivotButton="0" quotePrefix="0" xfId="0"/>
    <xf numFmtId="0" fontId="43" fillId="11" borderId="0" applyAlignment="1" pivotButton="0" quotePrefix="0" xfId="0">
      <alignment horizontal="left" vertical="center"/>
    </xf>
    <xf numFmtId="0" fontId="44" fillId="27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164" fontId="9" fillId="19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left" vertical="center"/>
    </xf>
    <xf numFmtId="0" fontId="11" fillId="16" borderId="2" applyAlignment="1" pivotButton="0" quotePrefix="0" xfId="0">
      <alignment horizontal="center" vertical="center"/>
    </xf>
    <xf numFmtId="168" fontId="12" fillId="17" borderId="3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left" vertical="center"/>
    </xf>
    <xf numFmtId="0" fontId="11" fillId="19" borderId="2" applyAlignment="1" pivotButton="0" quotePrefix="0" xfId="0">
      <alignment horizontal="center" vertical="center"/>
    </xf>
    <xf numFmtId="168" fontId="15" fillId="17" borderId="3" applyAlignment="1" pivotButton="0" quotePrefix="0" xfId="0">
      <alignment horizontal="center" vertical="center"/>
    </xf>
    <xf numFmtId="0" fontId="14" fillId="16" borderId="2" applyAlignment="1" pivotButton="0" quotePrefix="0" xfId="0">
      <alignment horizontal="left" vertical="center"/>
    </xf>
    <xf numFmtId="0" fontId="10" fillId="19" borderId="2" applyAlignment="1" pivotButton="0" quotePrefix="0" xfId="0">
      <alignment horizontal="left" vertical="center"/>
    </xf>
    <xf numFmtId="0" fontId="39" fillId="16" borderId="2" applyAlignment="1" pivotButton="0" quotePrefix="0" xfId="0">
      <alignment horizontal="left" vertical="center" wrapText="1"/>
    </xf>
    <xf numFmtId="0" fontId="38" fillId="16" borderId="2" applyAlignment="1" pivotButton="0" quotePrefix="0" xfId="0">
      <alignment horizontal="left" vertical="center" wrapText="1"/>
    </xf>
    <xf numFmtId="0" fontId="39" fillId="19" borderId="2" applyAlignment="1" pivotButton="0" quotePrefix="0" xfId="0">
      <alignment horizontal="left" vertical="center" wrapText="1"/>
    </xf>
    <xf numFmtId="0" fontId="38" fillId="19" borderId="2" applyAlignment="1" pivotButton="0" quotePrefix="0" xfId="0">
      <alignment horizontal="left" vertical="center" wrapText="1"/>
    </xf>
    <xf numFmtId="0" fontId="3" fillId="26" borderId="0" applyAlignment="1" pivotButton="0" quotePrefix="0" xfId="0">
      <alignment horizontal="left" vertical="center"/>
    </xf>
    <xf numFmtId="0" fontId="3" fillId="4" borderId="7" applyAlignment="1" pivotButton="0" quotePrefix="0" xfId="0">
      <alignment horizontal="center" vertical="center"/>
    </xf>
    <xf numFmtId="0" fontId="45" fillId="24" borderId="7" applyAlignment="1" pivotButton="0" quotePrefix="0" xfId="0">
      <alignment horizontal="left" vertical="center" wrapText="1"/>
    </xf>
    <xf numFmtId="0" fontId="38" fillId="24" borderId="7" applyAlignment="1" pivotButton="0" quotePrefix="0" xfId="0">
      <alignment horizontal="left" vertical="center" wrapText="1"/>
    </xf>
    <xf numFmtId="0" fontId="46" fillId="22" borderId="7" applyAlignment="1" pivotButton="0" quotePrefix="0" xfId="0">
      <alignment horizontal="left" vertical="center" wrapText="1"/>
    </xf>
    <xf numFmtId="0" fontId="38" fillId="22" borderId="7" applyAlignment="1" pivotButton="0" quotePrefix="0" xfId="0">
      <alignment horizontal="left" vertical="center" wrapText="1"/>
    </xf>
    <xf numFmtId="0" fontId="40" fillId="18" borderId="7" applyAlignment="1" pivotButton="0" quotePrefix="0" xfId="0">
      <alignment horizontal="left" vertical="center" wrapText="1"/>
    </xf>
    <xf numFmtId="0" fontId="38" fillId="18" borderId="7" applyAlignment="1" pivotButton="0" quotePrefix="0" xfId="0">
      <alignment horizontal="left" vertical="center" wrapText="1"/>
    </xf>
    <xf numFmtId="0" fontId="47" fillId="3" borderId="7" applyAlignment="1" pivotButton="0" quotePrefix="0" xfId="0">
      <alignment horizontal="left" vertical="center" wrapText="1"/>
    </xf>
    <xf numFmtId="0" fontId="38" fillId="3" borderId="7" applyAlignment="1" pivotButton="0" quotePrefix="0" xfId="0">
      <alignment horizontal="left" vertical="center" wrapText="1"/>
    </xf>
    <xf numFmtId="0" fontId="34" fillId="19" borderId="7" pivotButton="0" quotePrefix="0" xfId="0"/>
    <xf numFmtId="0" fontId="34" fillId="16" borderId="7" pivotButton="0" quotePrefix="0" xfId="0"/>
    <xf numFmtId="0" fontId="34" fillId="19" borderId="7" applyAlignment="1" pivotButton="0" quotePrefix="0" xfId="0">
      <alignment horizontal="left" vertical="center"/>
    </xf>
    <xf numFmtId="0" fontId="38" fillId="19" borderId="7" applyAlignment="1" pivotButton="0" quotePrefix="0" xfId="0">
      <alignment horizontal="left" vertical="center"/>
    </xf>
    <xf numFmtId="0" fontId="34" fillId="16" borderId="7" applyAlignment="1" pivotButton="0" quotePrefix="0" xfId="0">
      <alignment horizontal="left" vertical="center"/>
    </xf>
    <xf numFmtId="0" fontId="38" fillId="16" borderId="7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71" fillId="4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3" fillId="26" borderId="7" applyAlignment="1" pivotButton="0" quotePrefix="0" xfId="0">
      <alignment horizontal="center" vertical="center"/>
    </xf>
    <xf numFmtId="0" fontId="72" fillId="19" borderId="2" applyAlignment="1" pivotButton="0" quotePrefix="0" xfId="0">
      <alignment horizontal="left" vertical="center" wrapText="1"/>
    </xf>
    <xf numFmtId="0" fontId="73" fillId="19" borderId="2" applyAlignment="1" pivotButton="0" quotePrefix="0" xfId="0">
      <alignment horizontal="left" vertical="center" wrapText="1"/>
    </xf>
    <xf numFmtId="0" fontId="74" fillId="16" borderId="2" applyAlignment="1" pivotButton="0" quotePrefix="0" xfId="0">
      <alignment horizontal="left" vertical="center" wrapText="1"/>
    </xf>
    <xf numFmtId="0" fontId="73" fillId="16" borderId="2" applyAlignment="1" pivotButton="0" quotePrefix="0" xfId="0">
      <alignment horizontal="left" vertical="center" wrapText="1"/>
    </xf>
    <xf numFmtId="0" fontId="75" fillId="19" borderId="2" applyAlignment="1" pivotButton="0" quotePrefix="0" xfId="0">
      <alignment horizontal="left" vertical="center" wrapText="1"/>
    </xf>
    <xf numFmtId="0" fontId="76" fillId="16" borderId="2" applyAlignment="1" pivotButton="0" quotePrefix="0" xfId="0">
      <alignment horizontal="left" vertical="center" wrapText="1"/>
    </xf>
    <xf numFmtId="0" fontId="76" fillId="19" borderId="2" applyAlignment="1" pivotButton="0" quotePrefix="0" xfId="0">
      <alignment horizontal="left" vertical="center" wrapText="1"/>
    </xf>
    <xf numFmtId="0" fontId="17" fillId="16" borderId="2" applyAlignment="1" pivotButton="0" quotePrefix="0" xfId="0">
      <alignment horizontal="left" vertical="center" wrapText="1"/>
    </xf>
    <xf numFmtId="0" fontId="77" fillId="19" borderId="2" applyAlignment="1" pivotButton="0" quotePrefix="0" xfId="0">
      <alignment horizontal="left" vertical="center" wrapText="1"/>
    </xf>
    <xf numFmtId="0" fontId="72" fillId="16" borderId="2" applyAlignment="1" pivotButton="0" quotePrefix="0" xfId="0">
      <alignment horizontal="left" vertical="center" wrapText="1"/>
    </xf>
    <xf numFmtId="0" fontId="78" fillId="19" borderId="2" applyAlignment="1" pivotButton="0" quotePrefix="0" xfId="0">
      <alignment horizontal="left" vertical="center" wrapText="1"/>
    </xf>
    <xf numFmtId="0" fontId="33" fillId="16" borderId="2" applyAlignment="1" pivotButton="0" quotePrefix="0" xfId="0">
      <alignment horizontal="left" vertical="center" wrapText="1"/>
    </xf>
    <xf numFmtId="0" fontId="47" fillId="19" borderId="2" applyAlignment="1" pivotButton="0" quotePrefix="0" xfId="0">
      <alignment horizontal="left" vertical="center" wrapText="1"/>
    </xf>
    <xf numFmtId="0" fontId="0" fillId="0" borderId="14" pivotButton="0" quotePrefix="0" xfId="0"/>
    <xf numFmtId="0" fontId="47" fillId="16" borderId="2" applyAlignment="1" pivotButton="0" quotePrefix="0" xfId="0">
      <alignment horizontal="left" vertical="center" wrapText="1"/>
    </xf>
    <xf numFmtId="0" fontId="8" fillId="44" borderId="0" applyAlignment="1" pivotButton="0" quotePrefix="0" xfId="0">
      <alignment horizontal="left" vertical="center"/>
    </xf>
    <xf numFmtId="0" fontId="0" fillId="43" borderId="0" pivotButton="0" quotePrefix="0" xfId="0"/>
    <xf numFmtId="0" fontId="79" fillId="45" borderId="15" applyAlignment="1" pivotButton="0" quotePrefix="0" xfId="0">
      <alignment horizontal="left" vertical="center"/>
    </xf>
    <xf numFmtId="0" fontId="80" fillId="43" borderId="15" applyAlignment="1" pivotButton="0" quotePrefix="0" xfId="0">
      <alignment horizontal="left" vertical="center"/>
    </xf>
    <xf numFmtId="0" fontId="0" fillId="43" borderId="18" pivotButton="0" quotePrefix="0" xfId="0"/>
    <xf numFmtId="0" fontId="81" fillId="45" borderId="15" applyAlignment="1" pivotButton="0" quotePrefix="0" xfId="0">
      <alignment horizontal="left" vertical="center"/>
    </xf>
    <xf numFmtId="0" fontId="82" fillId="45" borderId="15" applyAlignment="1" pivotButton="0" quotePrefix="0" xfId="0">
      <alignment horizontal="left" vertical="center"/>
    </xf>
    <xf numFmtId="0" fontId="83" fillId="45" borderId="15" applyAlignment="1" pivotButton="0" quotePrefix="0" xfId="0">
      <alignment horizontal="left" vertical="center"/>
    </xf>
    <xf numFmtId="0" fontId="21" fillId="45" borderId="15" applyAlignment="1" pivotButton="0" quotePrefix="0" xfId="0">
      <alignment horizontal="left" vertical="center"/>
    </xf>
    <xf numFmtId="0" fontId="84" fillId="45" borderId="15" applyAlignment="1" pivotButton="0" quotePrefix="0" xfId="0">
      <alignment horizontal="left" vertical="center"/>
    </xf>
    <xf numFmtId="0" fontId="5" fillId="4" borderId="7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48" fillId="0" borderId="2" applyAlignment="1" pivotButton="0" quotePrefix="0" xfId="0">
      <alignment horizontal="left" vertical="center" wrapText="1"/>
    </xf>
    <xf numFmtId="168" fontId="12" fillId="17" borderId="3" applyAlignment="1" pivotButton="0" quotePrefix="0" xfId="0">
      <alignment horizontal="center" vertical="center"/>
    </xf>
    <xf numFmtId="168" fontId="15" fillId="17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43" fillId="2" borderId="0" applyAlignment="1" pivotButton="0" quotePrefix="0" xfId="0">
      <alignment horizontal="left" vertical="center"/>
    </xf>
    <xf numFmtId="0" fontId="19" fillId="1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27" fillId="19" borderId="2" applyAlignment="1" pivotButton="0" quotePrefix="0" xfId="0">
      <alignment horizontal="left" vertical="center" wrapText="1"/>
    </xf>
    <xf numFmtId="0" fontId="30" fillId="19" borderId="2" applyAlignment="1" pivotButton="0" quotePrefix="0" xfId="0">
      <alignment horizontal="left" vertical="center" wrapText="1"/>
    </xf>
    <xf numFmtId="0" fontId="49" fillId="19" borderId="2" applyAlignment="1" pivotButton="0" quotePrefix="0" xfId="0">
      <alignment horizontal="left" vertical="center" wrapText="1"/>
    </xf>
    <xf numFmtId="0" fontId="27" fillId="16" borderId="2" applyAlignment="1" pivotButton="0" quotePrefix="0" xfId="0">
      <alignment horizontal="left" vertical="center" wrapText="1"/>
    </xf>
    <xf numFmtId="0" fontId="50" fillId="19" borderId="2" applyAlignment="1" pivotButton="0" quotePrefix="0" xfId="0">
      <alignment horizontal="left" vertical="center" wrapText="1"/>
    </xf>
    <xf numFmtId="0" fontId="49" fillId="16" borderId="2" applyAlignment="1" pivotButton="0" quotePrefix="0" xfId="0">
      <alignment horizontal="left" vertical="center" wrapText="1"/>
    </xf>
    <xf numFmtId="0" fontId="51" fillId="19" borderId="2" applyAlignment="1" pivotButton="0" quotePrefix="0" xfId="0">
      <alignment horizontal="left" vertical="center" wrapText="1"/>
    </xf>
    <xf numFmtId="0" fontId="19" fillId="19" borderId="2" applyAlignment="1" pivotButton="0" quotePrefix="0" xfId="0">
      <alignment horizontal="left" vertical="center" wrapText="1"/>
    </xf>
    <xf numFmtId="0" fontId="51" fillId="16" borderId="2" applyAlignment="1" pivotButton="0" quotePrefix="0" xfId="0">
      <alignment horizontal="left" vertical="center" wrapText="1"/>
    </xf>
    <xf numFmtId="0" fontId="52" fillId="16" borderId="2" applyAlignment="1" pivotButton="0" quotePrefix="0" xfId="0">
      <alignment horizontal="left" vertical="center" wrapText="1"/>
    </xf>
    <xf numFmtId="0" fontId="52" fillId="19" borderId="2" applyAlignment="1" pivotButton="0" quotePrefix="0" xfId="0">
      <alignment horizontal="left" vertical="center" wrapText="1"/>
    </xf>
    <xf numFmtId="0" fontId="32" fillId="16" borderId="2" applyAlignment="1" pivotButton="0" quotePrefix="0" xfId="0">
      <alignment horizontal="left" vertical="center" wrapText="1"/>
    </xf>
    <xf numFmtId="0" fontId="32" fillId="19" borderId="2" applyAlignment="1" pivotButton="0" quotePrefix="0" xfId="0">
      <alignment horizontal="left" vertical="center" wrapText="1"/>
    </xf>
    <xf numFmtId="0" fontId="23" fillId="16" borderId="2" applyAlignment="1" pivotButton="0" quotePrefix="0" xfId="0">
      <alignment horizontal="left" vertical="center" wrapText="1"/>
    </xf>
    <xf numFmtId="0" fontId="23" fillId="19" borderId="2" applyAlignment="1" pivotButton="0" quotePrefix="0" xfId="0">
      <alignment horizontal="left" vertical="center" wrapText="1"/>
    </xf>
    <xf numFmtId="0" fontId="41" fillId="19" borderId="2" applyAlignment="1" pivotButton="0" quotePrefix="0" xfId="0">
      <alignment horizontal="left" vertical="center" wrapText="1"/>
    </xf>
    <xf numFmtId="0" fontId="41" fillId="16" borderId="2" applyAlignment="1" pivotButton="0" quotePrefix="0" xfId="0">
      <alignment horizontal="left" vertical="center" wrapText="1"/>
    </xf>
    <xf numFmtId="0" fontId="53" fillId="19" borderId="2" applyAlignment="1" pivotButton="0" quotePrefix="0" xfId="0">
      <alignment horizontal="left" vertical="center" wrapText="1"/>
    </xf>
    <xf numFmtId="0" fontId="53" fillId="16" borderId="2" applyAlignment="1" pivotButton="0" quotePrefix="0" xfId="0">
      <alignment horizontal="left" vertical="center" wrapText="1"/>
    </xf>
    <xf numFmtId="0" fontId="34" fillId="19" borderId="2" applyAlignment="1" pivotButton="0" quotePrefix="0" xfId="0">
      <alignment horizontal="left" vertical="center" wrapText="1"/>
    </xf>
    <xf numFmtId="0" fontId="34" fillId="16" borderId="2" applyAlignment="1" pivotButton="0" quotePrefix="0" xfId="0">
      <alignment horizontal="left" vertical="center" wrapText="1"/>
    </xf>
    <xf numFmtId="0" fontId="50" fillId="16" borderId="2" applyAlignment="1" pivotButton="0" quotePrefix="0" xfId="0">
      <alignment horizontal="left" vertical="center" wrapText="1"/>
    </xf>
    <xf numFmtId="0" fontId="54" fillId="19" borderId="2" applyAlignment="1" pivotButton="0" quotePrefix="0" xfId="0">
      <alignment horizontal="left" vertical="center" wrapText="1"/>
    </xf>
    <xf numFmtId="0" fontId="54" fillId="16" borderId="2" applyAlignment="1" pivotButton="0" quotePrefix="0" xfId="0">
      <alignment horizontal="left" vertical="center" wrapText="1"/>
    </xf>
    <xf numFmtId="0" fontId="40" fillId="19" borderId="2" applyAlignment="1" pivotButton="0" quotePrefix="0" xfId="0">
      <alignment horizontal="left" vertical="center" wrapText="1"/>
    </xf>
    <xf numFmtId="0" fontId="40" fillId="16" borderId="2" applyAlignment="1" pivotButton="0" quotePrefix="0" xfId="0">
      <alignment horizontal="left" vertical="center" wrapText="1"/>
    </xf>
    <xf numFmtId="0" fontId="55" fillId="16" borderId="2" applyAlignment="1" pivotButton="0" quotePrefix="0" xfId="0">
      <alignment horizontal="left" vertical="center" wrapText="1"/>
    </xf>
    <xf numFmtId="0" fontId="55" fillId="19" borderId="2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8" fillId="28" borderId="0" applyAlignment="1" pivotButton="0" quotePrefix="0" xfId="0">
      <alignment horizontal="left" vertical="center"/>
    </xf>
    <xf numFmtId="0" fontId="8" fillId="29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left" vertical="center"/>
    </xf>
    <xf numFmtId="0" fontId="56" fillId="19" borderId="2" applyAlignment="1" pivotButton="0" quotePrefix="0" xfId="0">
      <alignment horizontal="left" vertical="center" wrapText="1"/>
    </xf>
    <xf numFmtId="0" fontId="56" fillId="16" borderId="2" applyAlignment="1" pivotButton="0" quotePrefix="0" xfId="0">
      <alignment horizontal="left" vertical="center" wrapText="1"/>
    </xf>
    <xf numFmtId="0" fontId="3" fillId="31" borderId="0" applyAlignment="1" pivotButton="0" quotePrefix="0" xfId="0">
      <alignment horizontal="left" vertical="center"/>
    </xf>
    <xf numFmtId="0" fontId="57" fillId="16" borderId="2" applyAlignment="1" pivotButton="0" quotePrefix="0" xfId="0">
      <alignment horizontal="left" vertical="center" wrapText="1"/>
    </xf>
    <xf numFmtId="0" fontId="57" fillId="19" borderId="2" applyAlignment="1" pivotButton="0" quotePrefix="0" xfId="0">
      <alignment horizontal="left" vertical="center" wrapText="1"/>
    </xf>
    <xf numFmtId="0" fontId="3" fillId="32" borderId="0" applyAlignment="1" pivotButton="0" quotePrefix="0" xfId="0">
      <alignment horizontal="left" vertical="center"/>
    </xf>
    <xf numFmtId="0" fontId="58" fillId="16" borderId="2" applyAlignment="1" pivotButton="0" quotePrefix="0" xfId="0">
      <alignment horizontal="left" vertical="center" wrapText="1"/>
    </xf>
    <xf numFmtId="0" fontId="58" fillId="19" borderId="2" applyAlignment="1" pivotButton="0" quotePrefix="0" xfId="0">
      <alignment horizontal="left" vertical="center" wrapText="1"/>
    </xf>
    <xf numFmtId="0" fontId="3" fillId="33" borderId="0" applyAlignment="1" pivotButton="0" quotePrefix="0" xfId="0">
      <alignment horizontal="left" vertical="center"/>
    </xf>
    <xf numFmtId="0" fontId="59" fillId="19" borderId="2" applyAlignment="1" pivotButton="0" quotePrefix="0" xfId="0">
      <alignment horizontal="left" vertical="center" wrapText="1"/>
    </xf>
    <xf numFmtId="0" fontId="59" fillId="16" borderId="2" applyAlignment="1" pivotButton="0" quotePrefix="0" xfId="0">
      <alignment horizontal="left" vertical="center" wrapText="1"/>
    </xf>
    <xf numFmtId="0" fontId="3" fillId="34" borderId="0" applyAlignment="1" pivotButton="0" quotePrefix="0" xfId="0">
      <alignment horizontal="left" vertical="center"/>
    </xf>
    <xf numFmtId="0" fontId="60" fillId="16" borderId="2" applyAlignment="1" pivotButton="0" quotePrefix="0" xfId="0">
      <alignment horizontal="left" vertical="center" wrapText="1"/>
    </xf>
    <xf numFmtId="0" fontId="3" fillId="35" borderId="0" applyAlignment="1" pivotButton="0" quotePrefix="0" xfId="0">
      <alignment horizontal="left" vertical="center"/>
    </xf>
    <xf numFmtId="0" fontId="61" fillId="19" borderId="2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/>
    </xf>
    <xf numFmtId="0" fontId="3" fillId="36" borderId="0" applyAlignment="1" pivotButton="0" quotePrefix="0" xfId="0">
      <alignment horizontal="left" vertical="center"/>
    </xf>
    <xf numFmtId="0" fontId="62" fillId="16" borderId="2" applyAlignment="1" pivotButton="0" quotePrefix="0" xfId="0">
      <alignment horizontal="left" vertical="center" wrapText="1"/>
    </xf>
    <xf numFmtId="0" fontId="3" fillId="37" borderId="0" applyAlignment="1" pivotButton="0" quotePrefix="0" xfId="0">
      <alignment horizontal="left" vertical="center"/>
    </xf>
    <xf numFmtId="0" fontId="63" fillId="19" borderId="2" applyAlignment="1" pivotButton="0" quotePrefix="0" xfId="0">
      <alignment horizontal="left" vertical="center" wrapText="1"/>
    </xf>
    <xf numFmtId="0" fontId="63" fillId="16" borderId="2" applyAlignment="1" pivotButton="0" quotePrefix="0" xfId="0">
      <alignment horizontal="left" vertical="center" wrapText="1"/>
    </xf>
    <xf numFmtId="0" fontId="3" fillId="38" borderId="0" applyAlignment="1" pivotButton="0" quotePrefix="0" xfId="0">
      <alignment horizontal="left" vertical="center"/>
    </xf>
    <xf numFmtId="0" fontId="64" fillId="16" borderId="2" applyAlignment="1" pivotButton="0" quotePrefix="0" xfId="0">
      <alignment horizontal="left" vertical="center" wrapText="1"/>
    </xf>
    <xf numFmtId="0" fontId="3" fillId="39" borderId="0" applyAlignment="1" pivotButton="0" quotePrefix="0" xfId="0">
      <alignment horizontal="left" vertical="center"/>
    </xf>
    <xf numFmtId="0" fontId="65" fillId="19" borderId="2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left" vertical="center"/>
    </xf>
    <xf numFmtId="0" fontId="66" fillId="19" borderId="2" applyAlignment="1" pivotButton="0" quotePrefix="0" xfId="0">
      <alignment horizontal="left" vertical="center" wrapText="1"/>
    </xf>
    <xf numFmtId="0" fontId="66" fillId="16" borderId="2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67" fillId="19" borderId="2" applyAlignment="1" pivotButton="0" quotePrefix="0" xfId="0">
      <alignment horizontal="left" vertical="center" wrapText="1"/>
    </xf>
    <xf numFmtId="0" fontId="67" fillId="16" borderId="2" applyAlignment="1" pivotButton="0" quotePrefix="0" xfId="0">
      <alignment horizontal="left" vertical="center" wrapText="1"/>
    </xf>
    <xf numFmtId="0" fontId="3" fillId="41" borderId="0" applyAlignment="1" pivotButton="0" quotePrefix="0" xfId="0">
      <alignment horizontal="left" vertical="center"/>
    </xf>
    <xf numFmtId="0" fontId="68" fillId="19" borderId="2" applyAlignment="1" pivotButton="0" quotePrefix="0" xfId="0">
      <alignment horizontal="left" vertical="center" wrapText="1"/>
    </xf>
    <xf numFmtId="0" fontId="68" fillId="16" borderId="2" applyAlignment="1" pivotButton="0" quotePrefix="0" xfId="0">
      <alignment horizontal="left" vertical="center" wrapText="1"/>
    </xf>
    <xf numFmtId="0" fontId="3" fillId="42" borderId="0" applyAlignment="1" pivotButton="0" quotePrefix="0" xfId="0">
      <alignment horizontal="left" vertical="center"/>
    </xf>
    <xf numFmtId="0" fontId="69" fillId="16" borderId="2" applyAlignment="1" pivotButton="0" quotePrefix="0" xfId="0">
      <alignment horizontal="left" vertical="center" wrapText="1"/>
    </xf>
    <xf numFmtId="0" fontId="69" fillId="19" borderId="2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70" fillId="19" borderId="2" applyAlignment="1" pivotButton="0" quotePrefix="0" xfId="0">
      <alignment horizontal="left" vertical="center" wrapText="1"/>
    </xf>
    <xf numFmtId="0" fontId="70" fillId="16" borderId="2" applyAlignment="1" pivotButton="0" quotePrefix="0" xfId="0">
      <alignment horizontal="left" vertical="center" wrapText="1"/>
    </xf>
    <xf numFmtId="0" fontId="8" fillId="31" borderId="0" applyAlignment="1" pivotButton="0" quotePrefix="0" xfId="0">
      <alignment horizontal="left" vertical="center"/>
    </xf>
    <xf numFmtId="0" fontId="25" fillId="16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00ED7D31"/>
        </patternFill>
      </fill>
    </dxf>
    <dxf>
      <fill>
        <patternFill patternType="solid">
          <fgColor rgb="004472C4"/>
        </patternFill>
      </fill>
    </dxf>
    <dxf>
      <fill>
        <patternFill patternType="solid">
          <fgColor rgb="007030A0"/>
        </patternFill>
      </fill>
    </dxf>
    <dxf>
      <fill>
        <patternFill patternType="solid">
          <fgColor rgb="009DC3E6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E36C09"/>
        </patternFill>
      </fill>
    </dxf>
    <dxf>
      <fill>
        <patternFill patternType="solid">
          <fgColor rgb="00833C00"/>
        </patternFill>
      </fill>
    </dxf>
    <dxf>
      <fill>
        <patternFill patternType="solid">
          <fgColor rgb="008080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54" customWidth="1" min="3" max="3"/>
    <col width="14" customWidth="1" min="4" max="4"/>
  </cols>
  <sheetData>
    <row r="1" ht="32" customHeight="1">
      <c r="A1" s="168" t="inlineStr">
        <is>
          <t xml:space="preserve">  ORACLE EPM CLOUD  —  WFP &amp; OPEX G&amp;A  |  INTEGRATED PROJECT PLAN v5  |  PwC Finance Transformation</t>
        </is>
      </c>
    </row>
    <row r="2" ht="16" customHeight="1">
      <c r="A2" s="169" t="inlineStr">
        <is>
          <t xml:space="preserve">  Integrated: Project Plan + 97 Requirements + 53 Calc Rules + Position-Based Planning Architecture  |  Release 1a</t>
        </is>
      </c>
    </row>
    <row r="3" ht="8" customHeight="1"/>
    <row r="4" ht="18" customHeight="1">
      <c r="A4" s="170" t="inlineStr">
        <is>
          <t xml:space="preserve">  WORKBOOK CONTENTS</t>
        </is>
      </c>
    </row>
    <row r="5" ht="14" customHeight="1">
      <c r="A5" s="171" t="inlineStr">
        <is>
          <t>#</t>
        </is>
      </c>
      <c r="B5" s="171" t="inlineStr">
        <is>
          <t>Sheet Name</t>
        </is>
      </c>
      <c r="C5" s="171" t="inlineStr">
        <is>
          <t>Contents</t>
        </is>
      </c>
      <c r="D5" s="171" t="inlineStr">
        <is>
          <t>Navigate</t>
        </is>
      </c>
    </row>
    <row r="6" ht="30" customHeight="1">
      <c r="A6" s="172" t="inlineStr">
        <is>
          <t>01</t>
        </is>
      </c>
      <c r="B6" s="172" t="inlineStr">
        <is>
          <t>📋 Workbook Index</t>
        </is>
      </c>
      <c r="C6" s="151" t="inlineStr">
        <is>
          <t>This navigation sheet — workbook contents and integration summary</t>
        </is>
      </c>
      <c r="D6" s="173" t="inlineStr">
        <is>
          <t>→ Tab</t>
        </is>
      </c>
    </row>
    <row r="7" ht="30" customHeight="1">
      <c r="A7" s="174" t="inlineStr">
        <is>
          <t>02</t>
        </is>
      </c>
      <c r="B7" s="174" t="inlineStr">
        <is>
          <t>Project Plan</t>
        </is>
      </c>
      <c r="C7" s="149" t="inlineStr">
        <is>
          <t>Dynamic Gantt with 155+ tasks across 8 delivery phases. NEW: Cols H-I show WF Req IDs &amp; Deliverable IDs cross-referenced to each task</t>
        </is>
      </c>
      <c r="D7" s="175" t="inlineStr">
        <is>
          <t>→ Tab</t>
        </is>
      </c>
    </row>
    <row r="8" ht="30" customHeight="1">
      <c r="A8" s="176" t="inlineStr">
        <is>
          <t>03</t>
        </is>
      </c>
      <c r="B8" s="176" t="inlineStr">
        <is>
          <t>Milestones &amp; RACI</t>
        </is>
      </c>
      <c r="C8" s="151" t="inlineStr">
        <is>
          <t>11 milestone gates with exit criteria + 15-workstream RACI matrix</t>
        </is>
      </c>
      <c r="D8" s="173" t="inlineStr">
        <is>
          <t>→ Tab</t>
        </is>
      </c>
    </row>
    <row r="9" ht="30" customHeight="1">
      <c r="A9" s="177" t="inlineStr">
        <is>
          <t>04</t>
        </is>
      </c>
      <c r="B9" s="177" t="inlineStr">
        <is>
          <t>Parallel Run — Gantt</t>
        </is>
      </c>
      <c r="C9" s="149" t="inlineStr">
        <is>
          <t>9-week parallel run execution tracker (Aug 21 – Oct 21) with weekly Gantt bars</t>
        </is>
      </c>
      <c r="D9" s="175" t="inlineStr">
        <is>
          <t>→ Tab</t>
        </is>
      </c>
    </row>
    <row r="10" ht="30" customHeight="1">
      <c r="A10" s="178" t="inlineStr">
        <is>
          <t>05</t>
        </is>
      </c>
      <c r="B10" s="178" t="inlineStr">
        <is>
          <t>Parallel Run — Governance</t>
        </is>
      </c>
      <c r="C10" s="151" t="inlineStr">
        <is>
          <t>Variance tolerance framework (P1/P2/P3), 10 exit criteria (EC-01 to EC-10), 23 deliverables register</t>
        </is>
      </c>
      <c r="D10" s="173" t="inlineStr">
        <is>
          <t>→ Tab</t>
        </is>
      </c>
    </row>
    <row r="11" ht="30" customHeight="1">
      <c r="A11" s="179" t="inlineStr">
        <is>
          <t>06</t>
        </is>
      </c>
      <c r="B11" s="179" t="inlineStr">
        <is>
          <t>Requirements Register</t>
        </is>
      </c>
      <c r="C11" s="149" t="inlineStr">
        <is>
          <t>All 97+ WF requirements (WF-01 to WF-97 + WF-ADV series) with full requirement text, Oracle EPM configuration approach, sprint assignment, and P1/P2/P3 priority</t>
        </is>
      </c>
      <c r="D11" s="175" t="inlineStr">
        <is>
          <t>→ Tab</t>
        </is>
      </c>
    </row>
    <row r="12" ht="30" customHeight="1">
      <c r="A12" s="180" t="inlineStr">
        <is>
          <t>07</t>
        </is>
      </c>
      <c r="B12" s="180" t="inlineStr">
        <is>
          <t>Sprint Plan — Requirements</t>
        </is>
      </c>
      <c r="C12" s="151" t="inlineStr">
        <is>
          <t>Same requirements grouped by sprint block — shows requirement count per sprint and EPM config summary</t>
        </is>
      </c>
      <c r="D12" s="173" t="inlineStr">
        <is>
          <t>→ Tab</t>
        </is>
      </c>
    </row>
    <row r="13" ht="30" customHeight="1">
      <c r="A13" s="181" t="inlineStr">
        <is>
          <t>08</t>
        </is>
      </c>
      <c r="B13" s="181" t="inlineStr">
        <is>
          <t>Calc Rules Register</t>
        </is>
      </c>
      <c r="C13" s="149" t="inlineStr">
        <is>
          <t>All 53 calc rules (5 Standard Oracle + 48 Custom Groovy) — each as own row with formula logic, dimensions, input source, output account, sprint, and WF cross-reference</t>
        </is>
      </c>
      <c r="D13" s="175" t="inlineStr">
        <is>
          <t>→ Tab</t>
        </is>
      </c>
    </row>
    <row r="14" ht="30" customHeight="1">
      <c r="A14" s="182" t="inlineStr">
        <is>
          <t>09</t>
        </is>
      </c>
      <c r="B14" s="182" t="inlineStr">
        <is>
          <t>PBP Architecture</t>
        </is>
      </c>
      <c r="C14" s="151" t="inlineStr">
        <is>
          <t>Position-Based Planning architecture: PBP vs Employee-based design decisions, 26-step calc sequence, data flow from Workday/PeopleFluent/Talent DP → EPM</t>
        </is>
      </c>
      <c r="D14" s="173" t="inlineStr">
        <is>
          <t>→ Tab</t>
        </is>
      </c>
    </row>
    <row r="15" ht="30" customHeight="1">
      <c r="A15" s="183" t="inlineStr">
        <is>
          <t>10</t>
        </is>
      </c>
      <c r="B15" s="183" t="inlineStr">
        <is>
          <t>Sprint Deliverables</t>
        </is>
      </c>
      <c r="C15" s="149" t="inlineStr">
        <is>
          <t>44 formal deliverables (DEL-DA-01 through DEL-GO-01) with owner, due date, and acceptance authority — cross-referenced to task rows in Project Plan</t>
        </is>
      </c>
      <c r="D15" s="175" t="inlineStr">
        <is>
          <t>→ Tab</t>
        </is>
      </c>
    </row>
    <row r="16" ht="10" customHeight="1"/>
    <row r="17" ht="18" customHeight="1">
      <c r="A17" s="170" t="inlineStr">
        <is>
          <t xml:space="preserve">  INTEGRATION SUMMARY — HOW THE SHEETS CONNECT</t>
        </is>
      </c>
    </row>
    <row r="18" ht="26" customHeight="1">
      <c r="A18" t="inlineStr"/>
      <c r="B18" s="184" t="inlineStr">
        <is>
          <t>Project Plan → Req Register</t>
        </is>
      </c>
      <c r="C18" s="151" t="inlineStr">
        <is>
          <t>Each task row in the Project Plan (col H) shows the WF requirement IDs it delivers. Filter Requirements Register by Sprint to see the same tasks from the requirements angle.</t>
        </is>
      </c>
      <c r="D18" s="185" t="n"/>
    </row>
    <row r="19" ht="26" customHeight="1">
      <c r="A19" t="inlineStr"/>
      <c r="B19" s="186" t="inlineStr">
        <is>
          <t>Req Register → Calc Rules</t>
        </is>
      </c>
      <c r="C19" s="149" t="inlineStr">
        <is>
          <t>Each Business Logic requirement (WF-68 to WF-92 etc.) maps to one or more rules in the Calc Rules Register (col F 'WF Refs'). Use both sheets to build test scripts.</t>
        </is>
      </c>
      <c r="D19" s="185" t="n"/>
    </row>
    <row r="20" ht="26" customHeight="1">
      <c r="A20" t="inlineStr"/>
      <c r="B20" s="184" t="inlineStr">
        <is>
          <t>Sprint Deliverables → Project Plan</t>
        </is>
      </c>
      <c r="C20" s="151" t="inlineStr">
        <is>
          <t>Each DEL-XX-XX deliverable maps to a task row in the Project Plan (Project Plan col I). Use Sprint Deliverables as the formal acceptance checkpoint register.</t>
        </is>
      </c>
      <c r="D20" s="185" t="n"/>
    </row>
    <row r="21" ht="26" customHeight="1">
      <c r="A21" t="inlineStr"/>
      <c r="B21" s="186" t="inlineStr">
        <is>
          <t>PBP Architecture → Sprint 1-3</t>
        </is>
      </c>
      <c r="C21" s="149" t="inlineStr">
        <is>
          <t>The Position-Based Planning Design sheet (26-step calc sequence) maps directly to Sprint 1 (CR-06, CR-07), Sprint 2 (CR-08/09), and Sprint 3 (CR-10 to CR-32) build tasks.</t>
        </is>
      </c>
      <c r="D21" s="185" t="n"/>
    </row>
    <row r="22" ht="26" customHeight="1">
      <c r="A22" t="inlineStr"/>
      <c r="B22" s="184" t="inlineStr">
        <is>
          <t>Parallel Run → Requirements</t>
        </is>
      </c>
      <c r="C22" s="151" t="inlineStr">
        <is>
          <t>Parallel Run governance validates all WF-53 (reconciliation), WF-03 (audit), WF-51 (traceability), WF-88 (baseline lock) requirements before legacy decommission.</t>
        </is>
      </c>
      <c r="D22" s="185" t="n"/>
    </row>
    <row r="24" ht="8" customHeight="1"/>
    <row r="25" ht="18" customHeight="1">
      <c r="A25" s="187" t="inlineStr">
        <is>
          <t xml:space="preserve">  SUMMARY STATS</t>
        </is>
      </c>
    </row>
    <row r="26" ht="22" customHeight="1">
      <c r="A26" s="188" t="n"/>
      <c r="B26" s="189" t="inlineStr">
        <is>
          <t xml:space="preserve">  155+  —  Project Plan Tasks</t>
        </is>
      </c>
      <c r="C26" s="190" t="inlineStr">
        <is>
          <t>Across 8 delivery phases Jan–Nov 2025</t>
        </is>
      </c>
      <c r="D26" s="191" t="n"/>
    </row>
    <row r="27" ht="22" customHeight="1">
      <c r="A27" s="188" t="n"/>
      <c r="B27" s="192" t="inlineStr">
        <is>
          <t xml:space="preserve">  97+  —  WF Requirements</t>
        </is>
      </c>
      <c r="C27" s="190" t="inlineStr">
        <is>
          <t>Mapped to sprints with Oracle EPM config detail</t>
        </is>
      </c>
      <c r="D27" s="191" t="n"/>
    </row>
    <row r="28" ht="22" customHeight="1">
      <c r="A28" s="188" t="n"/>
      <c r="B28" s="193" t="inlineStr">
        <is>
          <t xml:space="preserve">  53  —  Calc Rules</t>
        </is>
      </c>
      <c r="C28" s="190" t="inlineStr">
        <is>
          <t>Each rule as own line item with formula logic</t>
        </is>
      </c>
      <c r="D28" s="191" t="n"/>
    </row>
    <row r="29" ht="22" customHeight="1">
      <c r="A29" s="188" t="n"/>
      <c r="B29" s="194" t="inlineStr">
        <is>
          <t xml:space="preserve">  44  —  Sprint Deliverables</t>
        </is>
      </c>
      <c r="C29" s="190" t="inlineStr">
        <is>
          <t>DEL-DA-01 through DEL-GO-01 with owners</t>
        </is>
      </c>
      <c r="D29" s="191" t="n"/>
    </row>
    <row r="30" ht="22" customHeight="1">
      <c r="A30" s="188" t="n"/>
      <c r="B30" s="195" t="inlineStr">
        <is>
          <t xml:space="preserve">  9  —  Delivery Sprints</t>
        </is>
      </c>
      <c r="C30" s="190" t="inlineStr">
        <is>
          <t>Design → POC → S1 → S2 → S3 → S4 → SIT → UAT → Go-Live</t>
        </is>
      </c>
      <c r="D30" s="191" t="n"/>
    </row>
    <row r="31" ht="22" customHeight="1">
      <c r="A31" s="188" t="n"/>
      <c r="B31" s="196" t="inlineStr">
        <is>
          <t xml:space="preserve">  26  —  PBP Calc Steps</t>
        </is>
      </c>
      <c r="C31" s="190" t="inlineStr">
        <is>
          <t>Position-based planning calc sequence in execution order</t>
        </is>
      </c>
      <c r="D31" s="191" t="n"/>
    </row>
  </sheetData>
  <mergeCells count="16">
    <mergeCell ref="A1:D1"/>
    <mergeCell ref="A17:D17"/>
    <mergeCell ref="C20:D20"/>
    <mergeCell ref="C29:D29"/>
    <mergeCell ref="C21:D21"/>
    <mergeCell ref="C30:D30"/>
    <mergeCell ref="A4:D4"/>
    <mergeCell ref="C27:D27"/>
    <mergeCell ref="C19:D19"/>
    <mergeCell ref="C28:D28"/>
    <mergeCell ref="A25:D25"/>
    <mergeCell ref="C22:D22"/>
    <mergeCell ref="A2:D2"/>
    <mergeCell ref="C18:D18"/>
    <mergeCell ref="C31:D31"/>
    <mergeCell ref="C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9"/>
  <sheetViews>
    <sheetView showGridLines="0" workbookViewId="0">
      <pane xSplit="9" ySplit="6" topLeftCell="J7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11" customWidth="1" min="4" max="4"/>
    <col width="11" customWidth="1" min="5" max="5"/>
    <col width="10" customWidth="1" min="6" max="6"/>
    <col width="10" customWidth="1" min="7" max="7"/>
    <col width="20" customWidth="1" min="8" max="8"/>
    <col width="14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 ht="36" customHeight="1">
      <c r="A1" s="1" t="inlineStr">
        <is>
          <t xml:space="preserve">  ORACLE EPM CLOUD — WORKFORCE PLANNING &amp; OPEX G&amp;A  |  RELEASE 1a DELIVERY PLAN  |  2025</t>
        </is>
      </c>
    </row>
    <row r="2" ht="14" customHeight="1">
      <c r="A2" s="2" t="inlineStr">
        <is>
          <t xml:space="preserve">  ✏  Start / End dates in columns D &amp; E are EDITABLE (shown in blue) — Gantt bars update automatically  |  ▲ = Milestone Gate  |  ▼ = TODAY marker</t>
        </is>
      </c>
    </row>
    <row r="3" ht="22" customHeight="1">
      <c r="A3" s="3" t="inlineStr">
        <is>
          <t xml:space="preserve">  DELIVERY PHASES</t>
        </is>
      </c>
      <c r="J3" s="4" t="inlineStr">
        <is>
          <t>Design &amp; Align</t>
        </is>
      </c>
      <c r="K3" s="5" t="inlineStr">
        <is>
          <t>POC</t>
        </is>
      </c>
      <c r="L3" s="6" t="n"/>
      <c r="M3" s="6" t="n"/>
      <c r="N3" s="7" t="inlineStr">
        <is>
          <t>Build S1-S4</t>
        </is>
      </c>
      <c r="O3" s="8" t="n"/>
      <c r="P3" s="8" t="n"/>
      <c r="Q3" s="8" t="n"/>
      <c r="R3" s="8" t="n"/>
      <c r="S3" s="8" t="n"/>
      <c r="T3" s="8" t="n"/>
      <c r="U3" s="8" t="n"/>
      <c r="V3" s="9" t="inlineStr">
        <is>
          <t>SIT</t>
        </is>
      </c>
      <c r="W3" s="10" t="inlineStr">
        <is>
          <t>UAT</t>
        </is>
      </c>
      <c r="X3" s="11" t="n"/>
      <c r="Y3" s="12" t="inlineStr">
        <is>
          <t>Go-Live</t>
        </is>
      </c>
      <c r="Z3" s="13" t="inlineStr">
        <is>
          <t>Parallel Run</t>
        </is>
      </c>
      <c r="AA3" s="14" t="n"/>
      <c r="AB3" s="14" t="n"/>
      <c r="AC3" s="14" t="n"/>
      <c r="AD3" s="15" t="inlineStr">
        <is>
          <t>Evolve</t>
        </is>
      </c>
      <c r="AE3" s="16" t="n"/>
    </row>
    <row r="4" ht="13" customHeight="1">
      <c r="A4" s="17" t="inlineStr">
        <is>
          <t xml:space="preserve">  Phases, Workstreams &amp; Tasks</t>
        </is>
      </c>
      <c r="J4" s="18" t="inlineStr">
        <is>
          <t>2025</t>
        </is>
      </c>
    </row>
    <row r="5" ht="14" customHeight="1">
      <c r="A5" s="19" t="n"/>
      <c r="J5" s="132" t="inlineStr">
        <is>
          <t>Jan</t>
        </is>
      </c>
      <c r="L5" s="132" t="inlineStr">
        <is>
          <t>Feb</t>
        </is>
      </c>
      <c r="N5" s="132" t="inlineStr">
        <is>
          <t>Mar</t>
        </is>
      </c>
      <c r="Q5" s="132" t="inlineStr">
        <is>
          <t>Apr</t>
        </is>
      </c>
      <c r="S5" s="132" t="inlineStr">
        <is>
          <t>May</t>
        </is>
      </c>
      <c r="U5" s="132" t="inlineStr">
        <is>
          <t>Jun</t>
        </is>
      </c>
      <c r="W5" s="132" t="inlineStr">
        <is>
          <t>Jul</t>
        </is>
      </c>
      <c r="Y5" s="132" t="inlineStr">
        <is>
          <t>Aug</t>
        </is>
      </c>
      <c r="AA5" s="132" t="inlineStr">
        <is>
          <t>Sep</t>
        </is>
      </c>
      <c r="AD5" s="132" t="inlineStr">
        <is>
          <t>Oct</t>
        </is>
      </c>
      <c r="AF5" s="132" t="inlineStr">
        <is>
          <t>Nov</t>
        </is>
      </c>
    </row>
    <row r="6" ht="12" customHeight="1">
      <c r="A6" s="21" t="inlineStr">
        <is>
          <t xml:space="preserve">  ↳ period-start dates (formula reference) | Cols H-I: WF Requirement IDs &amp; Deliverables cross-referenced</t>
        </is>
      </c>
      <c r="J6" s="115" t="n">
        <v>45663</v>
      </c>
      <c r="K6" s="115" t="n">
        <v>45677</v>
      </c>
      <c r="L6" s="115" t="n">
        <v>45691</v>
      </c>
      <c r="M6" s="115" t="n">
        <v>45705</v>
      </c>
      <c r="N6" s="115" t="n">
        <v>45719</v>
      </c>
      <c r="O6" s="115" t="n">
        <v>45733</v>
      </c>
      <c r="P6" s="115" t="n">
        <v>45747</v>
      </c>
      <c r="Q6" s="115" t="n">
        <v>45761</v>
      </c>
      <c r="R6" s="115" t="n">
        <v>45775</v>
      </c>
      <c r="S6" s="115" t="n">
        <v>45789</v>
      </c>
      <c r="T6" s="115" t="n">
        <v>45803</v>
      </c>
      <c r="U6" s="115" t="n">
        <v>45817</v>
      </c>
      <c r="V6" s="115" t="n">
        <v>45831</v>
      </c>
      <c r="W6" s="115" t="n">
        <v>45845</v>
      </c>
      <c r="X6" s="115" t="n">
        <v>45859</v>
      </c>
      <c r="Y6" s="115" t="n">
        <v>45873</v>
      </c>
      <c r="Z6" s="115" t="n">
        <v>45887</v>
      </c>
      <c r="AA6" s="115" t="n">
        <v>45901</v>
      </c>
      <c r="AB6" s="115" t="n">
        <v>45915</v>
      </c>
      <c r="AC6" s="115" t="n">
        <v>45929</v>
      </c>
      <c r="AD6" s="115" t="n">
        <v>45943</v>
      </c>
      <c r="AE6" s="115" t="n">
        <v>45957</v>
      </c>
      <c r="AF6" s="115" t="n">
        <v>45971</v>
      </c>
    </row>
    <row r="7" ht="18" customHeight="1">
      <c r="A7" s="134" t="inlineStr">
        <is>
          <t>#</t>
        </is>
      </c>
      <c r="B7" s="134" t="inlineStr">
        <is>
          <t>Phase / Workstream / Task</t>
        </is>
      </c>
      <c r="C7" s="134" t="inlineStr">
        <is>
          <t>Owner / DRI</t>
        </is>
      </c>
      <c r="D7" s="134" t="inlineStr">
        <is>
          <t>Start</t>
        </is>
      </c>
      <c r="E7" s="134" t="inlineStr">
        <is>
          <t>End</t>
        </is>
      </c>
      <c r="F7" s="134" t="inlineStr">
        <is>
          <t>Duration</t>
        </is>
      </c>
      <c r="G7" s="134" t="inlineStr">
        <is>
          <t>Status</t>
        </is>
      </c>
      <c r="H7" s="197" t="inlineStr">
        <is>
          <t>WF Req IDs</t>
        </is>
      </c>
      <c r="I7" s="197" t="inlineStr">
        <is>
          <t>Deliverable IDs</t>
        </is>
      </c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</row>
    <row r="8" ht="20" customHeight="1">
      <c r="A8" s="136" t="inlineStr">
        <is>
          <t xml:space="preserve">  FY27 BUSINESS PLANNING CYCLE  —  PARALLEL TRACK (Current System)</t>
        </is>
      </c>
    </row>
    <row r="9" ht="18" customHeight="1">
      <c r="A9" s="137" t="n">
        <v>1</v>
      </c>
      <c r="B9" s="138" t="inlineStr">
        <is>
          <t>Annual planning — current system config, data clean-up &amp; optimization</t>
        </is>
      </c>
      <c r="C9" s="139" t="inlineStr">
        <is>
          <t>Finance / IT</t>
        </is>
      </c>
      <c r="D9" s="116" t="n">
        <v>45663</v>
      </c>
      <c r="E9" s="116" t="n">
        <v>46022</v>
      </c>
      <c r="F9" s="117">
        <f>IF(AND(D9&lt;&gt;"",E9&lt;&gt;""),E9-D9,"")</f>
        <v/>
      </c>
      <c r="G9" s="31" t="inlineStr">
        <is>
          <t>Active</t>
        </is>
      </c>
      <c r="H9" s="198" t="inlineStr">
        <is>
          <t>WF-55,WF-39</t>
        </is>
      </c>
      <c r="I9" s="199" t="inlineStr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32" t="n"/>
    </row>
    <row r="10" ht="18" customHeight="1">
      <c r="A10" s="142" t="n">
        <v>2</v>
      </c>
      <c r="B10" s="143" t="inlineStr">
        <is>
          <t xml:space="preserve">      Planning Guidance Playbook &amp; System Preparation</t>
        </is>
      </c>
      <c r="C10" s="144" t="inlineStr">
        <is>
          <t>Mgr. FP&amp;A</t>
        </is>
      </c>
      <c r="D10" s="118" t="n">
        <v>45810</v>
      </c>
      <c r="E10" s="118" t="n">
        <v>45926</v>
      </c>
      <c r="F10" s="119">
        <f>IF(AND(D10&lt;&gt;"",E10&lt;&gt;""),E10-D10,"")</f>
        <v/>
      </c>
      <c r="G10" s="141" t="inlineStr">
        <is>
          <t>Planned</t>
        </is>
      </c>
      <c r="H10" s="198" t="inlineStr">
        <is>
          <t>WF-55</t>
        </is>
      </c>
      <c r="I10" s="199" t="inlineStr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2" t="n"/>
    </row>
    <row r="11" ht="18" customHeight="1">
      <c r="A11" s="137" t="n">
        <v>3</v>
      </c>
      <c r="B11" s="146" t="inlineStr">
        <is>
          <t xml:space="preserve">      Dept. Budget Submissions</t>
        </is>
      </c>
      <c r="C11" s="139" t="inlineStr">
        <is>
          <t>Dept. Finance Leads</t>
        </is>
      </c>
      <c r="D11" s="118" t="n">
        <v>45931</v>
      </c>
      <c r="E11" s="118" t="n">
        <v>45961</v>
      </c>
      <c r="F11" s="117">
        <f>IF(AND(D11&lt;&gt;"",E11&lt;&gt;""),E11-D11,"")</f>
        <v/>
      </c>
      <c r="G11" s="141" t="inlineStr">
        <is>
          <t>Planned</t>
        </is>
      </c>
      <c r="H11" s="198" t="inlineStr">
        <is>
          <t>WF-86</t>
        </is>
      </c>
      <c r="I11" s="199" t="inlineStr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  <c r="AE11" s="32" t="n"/>
      <c r="AF11" s="32" t="n"/>
    </row>
    <row r="12" ht="18" customHeight="1">
      <c r="A12" s="142" t="n">
        <v>4</v>
      </c>
      <c r="B12" s="143" t="inlineStr">
        <is>
          <t xml:space="preserve">      Reviews, Iterations &amp; Consolidation</t>
        </is>
      </c>
      <c r="C12" s="144" t="inlineStr">
        <is>
          <t>CFO / FP&amp;A</t>
        </is>
      </c>
      <c r="D12" s="118" t="n">
        <v>45964</v>
      </c>
      <c r="E12" s="118" t="n">
        <v>46010</v>
      </c>
      <c r="F12" s="119">
        <f>IF(AND(D12&lt;&gt;"",E12&lt;&gt;""),E12-D12,"")</f>
        <v/>
      </c>
      <c r="G12" s="141" t="inlineStr">
        <is>
          <t>Planned</t>
        </is>
      </c>
      <c r="H12" s="198" t="inlineStr">
        <is>
          <t>WF-55,WF-39</t>
        </is>
      </c>
      <c r="I12" s="199" t="inlineStr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</row>
    <row r="13" ht="20" customHeight="1">
      <c r="A13" s="136" t="inlineStr">
        <is>
          <t xml:space="preserve">  RELEASE 1a  —  ORACLE EPM WFP (Workforce Planning) &amp; OPEX: G&amp;A Expenses (FS)</t>
        </is>
      </c>
    </row>
    <row r="14" ht="17" customHeight="1">
      <c r="A14" s="40" t="inlineStr"/>
      <c r="B14" s="41" t="inlineStr">
        <is>
          <t>PHASE 1 — DESIGN &amp; ALIGN  (January – February)</t>
        </is>
      </c>
      <c r="C14" s="42" t="inlineStr">
        <is>
          <t>PwC / Finance</t>
        </is>
      </c>
      <c r="D14" s="120" t="n">
        <v>45663</v>
      </c>
      <c r="E14" s="120" t="n">
        <v>45716</v>
      </c>
      <c r="F14" s="121">
        <f>(E14-D14)</f>
        <v/>
      </c>
      <c r="G14" s="45" t="inlineStr">
        <is>
          <t>Complete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</row>
    <row r="15" ht="18" customHeight="1">
      <c r="A15" s="137" t="n">
        <v>5</v>
      </c>
      <c r="B15" s="138" t="inlineStr">
        <is>
          <t>1.1  Program Governance &amp; Mobilization</t>
        </is>
      </c>
      <c r="C15" s="139" t="inlineStr">
        <is>
          <t>PwC PMO</t>
        </is>
      </c>
      <c r="D15" s="116" t="n">
        <v>45663</v>
      </c>
      <c r="E15" s="116" t="n">
        <v>45674</v>
      </c>
      <c r="F15" s="117">
        <f>IF(AND(D15&lt;&gt;"",E15&lt;&gt;""),E15-D15,"")</f>
        <v/>
      </c>
      <c r="G15" s="31" t="inlineStr">
        <is>
          <t>Complete</t>
        </is>
      </c>
      <c r="H15" s="198" t="inlineStr">
        <is>
          <t>WF-01,WF-02,WF-41</t>
        </is>
      </c>
      <c r="I15" s="199" t="inlineStr">
        <is>
          <t>DEL-DA-01</t>
        </is>
      </c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</row>
    <row r="16" ht="18" customHeight="1">
      <c r="A16" s="142" t="n">
        <v>6</v>
      </c>
      <c r="B16" s="143" t="inlineStr">
        <is>
          <t xml:space="preserve">      Project charter, scope baseline &amp; RACI matrix</t>
        </is>
      </c>
      <c r="C16" s="144" t="inlineStr">
        <is>
          <t>PwC PMO / Sponsor</t>
        </is>
      </c>
      <c r="D16" s="118" t="n">
        <v>45663</v>
      </c>
      <c r="E16" s="118" t="n">
        <v>45667</v>
      </c>
      <c r="F16" s="119">
        <f>IF(AND(D16&lt;&gt;"",E16&lt;&gt;""),E16-D16,"")</f>
        <v/>
      </c>
      <c r="G16" s="31" t="inlineStr">
        <is>
          <t>Complete</t>
        </is>
      </c>
      <c r="H16" s="198" t="inlineStr">
        <is>
          <t>WF-01,WF-02,WF-13</t>
        </is>
      </c>
      <c r="I16" s="199" t="inlineStr">
        <is>
          <t>DEL-DA-01</t>
        </is>
      </c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</row>
    <row r="17" ht="18" customHeight="1">
      <c r="A17" s="137" t="n">
        <v>7</v>
      </c>
      <c r="B17" s="146" t="inlineStr">
        <is>
          <t xml:space="preserve">      Program governance framework — SteerCo, workstream cadence</t>
        </is>
      </c>
      <c r="C17" s="139" t="inlineStr">
        <is>
          <t>PwC PMO</t>
        </is>
      </c>
      <c r="D17" s="118" t="n">
        <v>45663</v>
      </c>
      <c r="E17" s="118" t="n">
        <v>45667</v>
      </c>
      <c r="F17" s="117">
        <f>IF(AND(D17&lt;&gt;"",E17&lt;&gt;""),E17-D17,"")</f>
        <v/>
      </c>
      <c r="G17" s="31" t="inlineStr">
        <is>
          <t>Complete</t>
        </is>
      </c>
      <c r="H17" s="198" t="inlineStr">
        <is>
          <t>WF-41,WF-27</t>
        </is>
      </c>
      <c r="I17" s="199" t="inlineStr">
        <is>
          <t>DEL-DA-01</t>
        </is>
      </c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</row>
    <row r="18" ht="18" customHeight="1">
      <c r="A18" s="142" t="n">
        <v>8</v>
      </c>
      <c r="B18" s="143" t="inlineStr">
        <is>
          <t xml:space="preserve">      Risk &amp; issue register (RAID log) setup</t>
        </is>
      </c>
      <c r="C18" s="144" t="inlineStr">
        <is>
          <t>PwC PMO</t>
        </is>
      </c>
      <c r="D18" s="118" t="n">
        <v>45663</v>
      </c>
      <c r="E18" s="118" t="n">
        <v>45667</v>
      </c>
      <c r="F18" s="119">
        <f>IF(AND(D18&lt;&gt;"",E18&lt;&gt;""),E18-D18,"")</f>
        <v/>
      </c>
      <c r="G18" s="31" t="inlineStr">
        <is>
          <t>Complete</t>
        </is>
      </c>
      <c r="H18" s="198" t="inlineStr">
        <is>
          <t>WF-03,WF-51</t>
        </is>
      </c>
      <c r="I18" s="199" t="inlineStr">
        <is>
          <t>DEL-DA-01</t>
        </is>
      </c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32" t="n"/>
    </row>
    <row r="19" ht="18" customHeight="1">
      <c r="A19" s="137" t="n">
        <v>9</v>
      </c>
      <c r="B19" s="146" t="inlineStr">
        <is>
          <t xml:space="preserve">      Instance Management Strategy — DEV / TEST / UAT / PROD</t>
        </is>
      </c>
      <c r="C19" s="139" t="inlineStr">
        <is>
          <t>PwC / IT</t>
        </is>
      </c>
      <c r="D19" s="118" t="n">
        <v>45670</v>
      </c>
      <c r="E19" s="118" t="n">
        <v>45674</v>
      </c>
      <c r="F19" s="117">
        <f>IF(AND(D19&lt;&gt;"",E19&lt;&gt;""),E19-D19,"")</f>
        <v/>
      </c>
      <c r="G19" s="31" t="inlineStr">
        <is>
          <t>Complete</t>
        </is>
      </c>
      <c r="H19" s="198" t="inlineStr">
        <is>
          <t>WF-06,WF-07</t>
        </is>
      </c>
      <c r="I19" s="199" t="inlineStr">
        <is>
          <t>DEL-DA-03</t>
        </is>
      </c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  <c r="AE19" s="32" t="n"/>
      <c r="AF19" s="32" t="n"/>
    </row>
    <row r="20" ht="18" customHeight="1">
      <c r="A20" s="142" t="n">
        <v>10</v>
      </c>
      <c r="B20" s="143" t="inlineStr">
        <is>
          <t xml:space="preserve">      Change control process &amp; baseline freeze protocol</t>
        </is>
      </c>
      <c r="C20" s="144" t="inlineStr">
        <is>
          <t>PwC PMO</t>
        </is>
      </c>
      <c r="D20" s="118" t="n">
        <v>45670</v>
      </c>
      <c r="E20" s="118" t="n">
        <v>45674</v>
      </c>
      <c r="F20" s="119">
        <f>IF(AND(D20&lt;&gt;"",E20&lt;&gt;""),E20-D20,"")</f>
        <v/>
      </c>
      <c r="G20" s="31" t="inlineStr">
        <is>
          <t>Complete</t>
        </is>
      </c>
      <c r="H20" s="198" t="inlineStr">
        <is>
          <t>WF-01,WF-41</t>
        </is>
      </c>
      <c r="I20" s="199" t="inlineStr">
        <is>
          <t>DEL-DA-01</t>
        </is>
      </c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2" t="n"/>
      <c r="AD20" s="32" t="n"/>
      <c r="AE20" s="32" t="n"/>
      <c r="AF20" s="32" t="n"/>
    </row>
    <row r="21" ht="18" customHeight="1">
      <c r="A21" s="137" t="n">
        <v>11</v>
      </c>
      <c r="B21" s="138" t="inlineStr">
        <is>
          <t>1.2  Stakeholder Discovery &amp; Current-State Assessment</t>
        </is>
      </c>
      <c r="C21" s="139" t="inlineStr">
        <is>
          <t>PwC</t>
        </is>
      </c>
      <c r="D21" s="116" t="n">
        <v>45670</v>
      </c>
      <c r="E21" s="116" t="n">
        <v>45695</v>
      </c>
      <c r="F21" s="117">
        <f>IF(AND(D21&lt;&gt;"",E21&lt;&gt;""),E21-D21,"")</f>
        <v/>
      </c>
      <c r="G21" s="31" t="inlineStr">
        <is>
          <t>Complete</t>
        </is>
      </c>
      <c r="H21" s="198" t="inlineStr">
        <is>
          <t>WF-19,WF-84,WF-28</t>
        </is>
      </c>
      <c r="I21" s="199" t="inlineStr">
        <is>
          <t>DEL-DA-02</t>
        </is>
      </c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</row>
    <row r="22" ht="18" customHeight="1">
      <c r="A22" s="142" t="n">
        <v>12</v>
      </c>
      <c r="B22" s="143" t="inlineStr">
        <is>
          <t xml:space="preserve">      CFO / FP&amp;A discovery — planning process, pain points, success criteria</t>
        </is>
      </c>
      <c r="C22" s="144" t="inlineStr">
        <is>
          <t>PwC</t>
        </is>
      </c>
      <c r="D22" s="118" t="n">
        <v>45670</v>
      </c>
      <c r="E22" s="118" t="n">
        <v>45674</v>
      </c>
      <c r="F22" s="119">
        <f>IF(AND(D22&lt;&gt;"",E22&lt;&gt;""),E22-D22,"")</f>
        <v/>
      </c>
      <c r="G22" s="31" t="inlineStr">
        <is>
          <t>Complete</t>
        </is>
      </c>
      <c r="H22" s="198" t="inlineStr">
        <is>
          <t>WF-39,WF-55</t>
        </is>
      </c>
      <c r="I22" s="199" t="inlineStr">
        <is>
          <t>DEL-DA-01</t>
        </is>
      </c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</row>
    <row r="23" ht="18" customHeight="1">
      <c r="A23" s="137" t="n">
        <v>13</v>
      </c>
      <c r="B23" s="146" t="inlineStr">
        <is>
          <t xml:space="preserve">      HR / HRBP discovery — position master, org structure, HRIS data quality</t>
        </is>
      </c>
      <c r="C23" s="139" t="inlineStr">
        <is>
          <t>PwC</t>
        </is>
      </c>
      <c r="D23" s="118" t="n">
        <v>45670</v>
      </c>
      <c r="E23" s="118" t="n">
        <v>45674</v>
      </c>
      <c r="F23" s="117">
        <f>IF(AND(D23&lt;&gt;"",E23&lt;&gt;""),E23-D23,"")</f>
        <v/>
      </c>
      <c r="G23" s="31" t="inlineStr">
        <is>
          <t>Complete</t>
        </is>
      </c>
      <c r="H23" s="198" t="inlineStr">
        <is>
          <t>WF-19,WF-20,WF-24</t>
        </is>
      </c>
      <c r="I23" s="199" t="inlineStr">
        <is>
          <t>DEL-DA-02</t>
        </is>
      </c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32" t="n"/>
    </row>
    <row r="24" ht="18" customHeight="1">
      <c r="A24" s="142" t="n">
        <v>14</v>
      </c>
      <c r="B24" s="143" t="inlineStr">
        <is>
          <t xml:space="preserve">      IT / Architecture discovery — integration landscape, data volumes, security</t>
        </is>
      </c>
      <c r="C24" s="144" t="inlineStr">
        <is>
          <t>PwC</t>
        </is>
      </c>
      <c r="D24" s="118" t="n">
        <v>45677</v>
      </c>
      <c r="E24" s="118" t="n">
        <v>45681</v>
      </c>
      <c r="F24" s="119">
        <f>IF(AND(D24&lt;&gt;"",E24&lt;&gt;""),E24-D24,"")</f>
        <v/>
      </c>
      <c r="G24" s="31" t="inlineStr">
        <is>
          <t>Complete</t>
        </is>
      </c>
      <c r="H24" s="198" t="inlineStr">
        <is>
          <t>WF-10,WF-15,WF-17</t>
        </is>
      </c>
      <c r="I24" s="199" t="inlineStr">
        <is>
          <t>DEL-DA-07</t>
        </is>
      </c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  <c r="AE24" s="32" t="n"/>
      <c r="AF24" s="32" t="n"/>
    </row>
    <row r="25" ht="18" customHeight="1">
      <c r="A25" s="137" t="n">
        <v>15</v>
      </c>
      <c r="B25" s="146" t="inlineStr">
        <is>
          <t xml:space="preserve">      Dept. Finance leads — budget process, OPEX cost drivers, reporting needs</t>
        </is>
      </c>
      <c r="C25" s="139" t="inlineStr">
        <is>
          <t>PwC</t>
        </is>
      </c>
      <c r="D25" s="118" t="n">
        <v>45677</v>
      </c>
      <c r="E25" s="118" t="n">
        <v>45688</v>
      </c>
      <c r="F25" s="117">
        <f>IF(AND(D25&lt;&gt;"",E25&lt;&gt;""),E25-D25,"")</f>
        <v/>
      </c>
      <c r="G25" s="31" t="inlineStr">
        <is>
          <t>Complete</t>
        </is>
      </c>
      <c r="H25" s="198" t="inlineStr">
        <is>
          <t>WF-04,WF-33,WF-87</t>
        </is>
      </c>
      <c r="I25" s="199" t="inlineStr">
        <is>
          <t>DEL-DA-01</t>
        </is>
      </c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32" t="n"/>
    </row>
    <row r="26" ht="18" customHeight="1">
      <c r="A26" s="142" t="n">
        <v>16</v>
      </c>
      <c r="B26" s="143" t="inlineStr">
        <is>
          <t xml:space="preserve">      As-is process maps — WFP, headcount budgeting, OPEX planning</t>
        </is>
      </c>
      <c r="C26" s="144" t="inlineStr">
        <is>
          <t>PwC</t>
        </is>
      </c>
      <c r="D26" s="118" t="n">
        <v>45684</v>
      </c>
      <c r="E26" s="118" t="n">
        <v>45695</v>
      </c>
      <c r="F26" s="119">
        <f>IF(AND(D26&lt;&gt;"",E26&lt;&gt;""),E26-D26,"")</f>
        <v/>
      </c>
      <c r="G26" s="31" t="inlineStr">
        <is>
          <t>Complete</t>
        </is>
      </c>
      <c r="H26" s="198" t="inlineStr">
        <is>
          <t>WF-05,WF-32</t>
        </is>
      </c>
      <c r="I26" s="199" t="inlineStr">
        <is>
          <t>DEL-DA-02</t>
        </is>
      </c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</row>
    <row r="27" ht="18" customHeight="1">
      <c r="A27" s="137" t="n">
        <v>17</v>
      </c>
      <c r="B27" s="146" t="inlineStr">
        <is>
          <t xml:space="preserve">      Legacy tool / spreadsheet inventory &amp; gap analysis</t>
        </is>
      </c>
      <c r="C27" s="139" t="inlineStr">
        <is>
          <t>PwC</t>
        </is>
      </c>
      <c r="D27" s="118" t="n">
        <v>45684</v>
      </c>
      <c r="E27" s="118" t="n">
        <v>45695</v>
      </c>
      <c r="F27" s="117">
        <f>IF(AND(D27&lt;&gt;"",E27&lt;&gt;""),E27-D27,"")</f>
        <v/>
      </c>
      <c r="G27" s="31" t="inlineStr">
        <is>
          <t>Complete</t>
        </is>
      </c>
      <c r="H27" s="198" t="inlineStr">
        <is>
          <t>WF-05,WF-08</t>
        </is>
      </c>
      <c r="I27" s="199" t="inlineStr">
        <is>
          <t>DEL-DA-02</t>
        </is>
      </c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</row>
    <row r="28" ht="18" customHeight="1">
      <c r="A28" s="142" t="n">
        <v>18</v>
      </c>
      <c r="B28" s="143" t="inlineStr">
        <is>
          <t xml:space="preserve">      Data quality assessment — position, compensation, org hierarchy</t>
        </is>
      </c>
      <c r="C28" s="144" t="inlineStr">
        <is>
          <t>PwC / IT</t>
        </is>
      </c>
      <c r="D28" s="118" t="n">
        <v>45684</v>
      </c>
      <c r="E28" s="118" t="n">
        <v>45695</v>
      </c>
      <c r="F28" s="119">
        <f>IF(AND(D28&lt;&gt;"",E28&lt;&gt;""),E28-D28,"")</f>
        <v/>
      </c>
      <c r="G28" s="31" t="inlineStr">
        <is>
          <t>Complete</t>
        </is>
      </c>
      <c r="H28" s="198" t="inlineStr">
        <is>
          <t>WF-10,WF-11,WF-16</t>
        </is>
      </c>
      <c r="I28" s="199" t="inlineStr">
        <is>
          <t>DEL-DA-07</t>
        </is>
      </c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</row>
    <row r="29" ht="18" customHeight="1">
      <c r="A29" s="137" t="n">
        <v>19</v>
      </c>
      <c r="B29" s="138" t="inlineStr">
        <is>
          <t>1.3  Requirements &amp; Future-State Architecture</t>
        </is>
      </c>
      <c r="C29" s="139" t="inlineStr">
        <is>
          <t>PwC</t>
        </is>
      </c>
      <c r="D29" s="116" t="n">
        <v>45684</v>
      </c>
      <c r="E29" s="116" t="n">
        <v>45709</v>
      </c>
      <c r="F29" s="117">
        <f>IF(AND(D29&lt;&gt;"",E29&lt;&gt;""),E29-D29,"")</f>
        <v/>
      </c>
      <c r="G29" s="31" t="inlineStr">
        <is>
          <t>Complete</t>
        </is>
      </c>
      <c r="H29" s="198" t="inlineStr">
        <is>
          <t>WF-19,WF-84,WF-20</t>
        </is>
      </c>
      <c r="I29" s="199" t="inlineStr">
        <is>
          <t>DEL-DA-02,DEL-DA-03</t>
        </is>
      </c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32" t="n"/>
    </row>
    <row r="30" ht="18" customHeight="1">
      <c r="A30" s="142" t="n">
        <v>20</v>
      </c>
      <c r="B30" s="143" t="inlineStr">
        <is>
          <t xml:space="preserve">      Requirements Traceability Matrix (RTM) — WFP &amp; OPEX G&amp;A</t>
        </is>
      </c>
      <c r="C30" s="144" t="inlineStr">
        <is>
          <t>PwC</t>
        </is>
      </c>
      <c r="D30" s="118" t="n">
        <v>45684</v>
      </c>
      <c r="E30" s="118" t="n">
        <v>45695</v>
      </c>
      <c r="F30" s="119">
        <f>IF(AND(D30&lt;&gt;"",E30&lt;&gt;""),E30-D30,"")</f>
        <v/>
      </c>
      <c r="G30" s="31" t="inlineStr">
        <is>
          <t>Complete</t>
        </is>
      </c>
      <c r="H30" s="198" t="inlineStr">
        <is>
          <t>WF-01,WF-03,WF-53</t>
        </is>
      </c>
      <c r="I30" s="199" t="inlineStr">
        <is>
          <t>DEL-DA-01</t>
        </is>
      </c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</row>
    <row r="31" ht="18" customHeight="1">
      <c r="A31" s="137" t="n">
        <v>21</v>
      </c>
      <c r="B31" s="146" t="inlineStr">
        <is>
          <t xml:space="preserve">      Future-State Architecture document — WFP module design</t>
        </is>
      </c>
      <c r="C31" s="139" t="inlineStr">
        <is>
          <t>PwC</t>
        </is>
      </c>
      <c r="D31" s="118" t="n">
        <v>45691</v>
      </c>
      <c r="E31" s="118" t="n">
        <v>45702</v>
      </c>
      <c r="F31" s="117">
        <f>IF(AND(D31&lt;&gt;"",E31&lt;&gt;""),E31-D31,"")</f>
        <v/>
      </c>
      <c r="G31" s="31" t="inlineStr">
        <is>
          <t>Complete</t>
        </is>
      </c>
      <c r="H31" s="198" t="inlineStr">
        <is>
          <t>WF-32,WF-04,WF-87</t>
        </is>
      </c>
      <c r="I31" s="199" t="inlineStr">
        <is>
          <t>DEL-DA-05</t>
        </is>
      </c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</row>
    <row r="32" ht="18" customHeight="1">
      <c r="A32" s="142" t="n">
        <v>22</v>
      </c>
      <c r="B32" s="143" t="inlineStr">
        <is>
          <t xml:space="preserve">      Future-State Architecture document — OPEX G&amp;A (FS) module</t>
        </is>
      </c>
      <c r="C32" s="144" t="inlineStr">
        <is>
          <t>PwC / Finance</t>
        </is>
      </c>
      <c r="D32" s="118" t="n">
        <v>45691</v>
      </c>
      <c r="E32" s="118" t="n">
        <v>45702</v>
      </c>
      <c r="F32" s="119">
        <f>IF(AND(D32&lt;&gt;"",E32&lt;&gt;""),E32-D32,"")</f>
        <v/>
      </c>
      <c r="G32" s="31" t="inlineStr">
        <is>
          <t>Complete</t>
        </is>
      </c>
      <c r="H32" s="198" t="inlineStr">
        <is>
          <t>WF-04,WF-33</t>
        </is>
      </c>
      <c r="I32" s="199" t="inlineStr">
        <is>
          <t>DEL-DA-05</t>
        </is>
      </c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</row>
    <row r="33" ht="18" customHeight="1">
      <c r="A33" s="137" t="n">
        <v>23</v>
      </c>
      <c r="B33" s="146" t="inlineStr">
        <is>
          <t xml:space="preserve">      Key Design Decisions (KDD) log — 25+ decisions captured &amp; signed off</t>
        </is>
      </c>
      <c r="C33" s="139" t="inlineStr">
        <is>
          <t>PwC / Sponsor</t>
        </is>
      </c>
      <c r="D33" s="118" t="n">
        <v>45691</v>
      </c>
      <c r="E33" s="118" t="n">
        <v>45702</v>
      </c>
      <c r="F33" s="117">
        <f>IF(AND(D33&lt;&gt;"",E33&lt;&gt;""),E33-D33,"")</f>
        <v/>
      </c>
      <c r="G33" s="31" t="inlineStr">
        <is>
          <t>Complete</t>
        </is>
      </c>
      <c r="H33" s="198" t="inlineStr">
        <is>
          <t>WF-06,WF-07,WF-13</t>
        </is>
      </c>
      <c r="I33" s="199" t="inlineStr">
        <is>
          <t>DEL-DA-04</t>
        </is>
      </c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</row>
    <row r="34" ht="18" customHeight="1">
      <c r="A34" s="142" t="n">
        <v>24</v>
      </c>
      <c r="B34" s="143" t="inlineStr">
        <is>
          <t xml:space="preserve">      RICE prioritization — backlog scoring (Reach, Impact, Confidence, Effort)</t>
        </is>
      </c>
      <c r="C34" s="144" t="inlineStr">
        <is>
          <t>PwC PMO</t>
        </is>
      </c>
      <c r="D34" s="118" t="n">
        <v>45698</v>
      </c>
      <c r="E34" s="118" t="n">
        <v>45702</v>
      </c>
      <c r="F34" s="119">
        <f>IF(AND(D34&lt;&gt;"",E34&lt;&gt;""),E34-D34,"")</f>
        <v/>
      </c>
      <c r="G34" s="31" t="inlineStr">
        <is>
          <t>Complete</t>
        </is>
      </c>
      <c r="H34" s="198" t="inlineStr">
        <is>
          <t>WF-23,WF-22</t>
        </is>
      </c>
      <c r="I34" s="199" t="inlineStr">
        <is>
          <t>DEL-DA-04</t>
        </is>
      </c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</row>
    <row r="35" ht="18" customHeight="1">
      <c r="A35" s="137" t="n">
        <v>25</v>
      </c>
      <c r="B35" s="146" t="inlineStr">
        <is>
          <t xml:space="preserve">      Configuration Workbook — dimension register, metadata specs</t>
        </is>
      </c>
      <c r="C35" s="139" t="inlineStr">
        <is>
          <t>PwC</t>
        </is>
      </c>
      <c r="D35" s="118" t="n">
        <v>45698</v>
      </c>
      <c r="E35" s="118" t="n">
        <v>45709</v>
      </c>
      <c r="F35" s="117">
        <f>IF(AND(D35&lt;&gt;"",E35&lt;&gt;""),E35-D35,"")</f>
        <v/>
      </c>
      <c r="G35" s="31" t="inlineStr">
        <is>
          <t>Complete</t>
        </is>
      </c>
      <c r="H35" s="198" t="inlineStr">
        <is>
          <t>WF-20,WF-21,WF-24</t>
        </is>
      </c>
      <c r="I35" s="199" t="inlineStr">
        <is>
          <t>DEL-DA-06</t>
        </is>
      </c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  <c r="AE35" s="32" t="n"/>
      <c r="AF35" s="32" t="n"/>
    </row>
    <row r="36" ht="18" customHeight="1">
      <c r="A36" s="142" t="n">
        <v>26</v>
      </c>
      <c r="B36" s="143" t="inlineStr">
        <is>
          <t xml:space="preserve">      BOR / ICP framework design — below-the-line ICP, allocation keys</t>
        </is>
      </c>
      <c r="C36" s="144" t="inlineStr">
        <is>
          <t>PwC / CFO</t>
        </is>
      </c>
      <c r="D36" s="118" t="n">
        <v>45698</v>
      </c>
      <c r="E36" s="118" t="n">
        <v>45709</v>
      </c>
      <c r="F36" s="119">
        <f>IF(AND(D36&lt;&gt;"",E36&lt;&gt;""),E36-D36,"")</f>
        <v/>
      </c>
      <c r="G36" s="31" t="inlineStr">
        <is>
          <t>Complete</t>
        </is>
      </c>
      <c r="H36" s="198" t="inlineStr">
        <is>
          <t>WF-87,WF-04</t>
        </is>
      </c>
      <c r="I36" s="199" t="inlineStr">
        <is>
          <t>DEL-DA-06</t>
        </is>
      </c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</row>
    <row r="37" ht="18" customHeight="1">
      <c r="A37" s="137" t="n">
        <v>27</v>
      </c>
      <c r="B37" s="146" t="inlineStr">
        <is>
          <t xml:space="preserve">      Integration architecture design — HRIS→EPM, ERP GL→EPM, EPM Automate</t>
        </is>
      </c>
      <c r="C37" s="139" t="inlineStr">
        <is>
          <t>PwC / IT</t>
        </is>
      </c>
      <c r="D37" s="118" t="n">
        <v>45698</v>
      </c>
      <c r="E37" s="118" t="n">
        <v>45709</v>
      </c>
      <c r="F37" s="117">
        <f>IF(AND(D37&lt;&gt;"",E37&lt;&gt;""),E37-D37,"")</f>
        <v/>
      </c>
      <c r="G37" s="31" t="inlineStr">
        <is>
          <t>Complete</t>
        </is>
      </c>
      <c r="H37" s="198" t="inlineStr">
        <is>
          <t>WF-10,WF-15,WF-17</t>
        </is>
      </c>
      <c r="I37" s="199" t="inlineStr">
        <is>
          <t>DEL-DA-07</t>
        </is>
      </c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</row>
    <row r="38" ht="18" customHeight="1">
      <c r="A38" s="142" t="n">
        <v>28</v>
      </c>
      <c r="B38" s="143" t="inlineStr">
        <is>
          <t xml:space="preserve">      Security &amp; access design — job roles, data access filters, SSO</t>
        </is>
      </c>
      <c r="C38" s="144" t="inlineStr">
        <is>
          <t>PwC / IT Sec</t>
        </is>
      </c>
      <c r="D38" s="118" t="n">
        <v>45705</v>
      </c>
      <c r="E38" s="118" t="n">
        <v>45709</v>
      </c>
      <c r="F38" s="119">
        <f>IF(AND(D38&lt;&gt;"",E38&lt;&gt;""),E38-D38,"")</f>
        <v/>
      </c>
      <c r="G38" s="31" t="inlineStr">
        <is>
          <t>Complete</t>
        </is>
      </c>
      <c r="H38" s="198" t="inlineStr">
        <is>
          <t>WF-58,WF-59,WF-60,WF-62,WF-63</t>
        </is>
      </c>
      <c r="I38" s="199" t="inlineStr">
        <is>
          <t>DEL-DA-08</t>
        </is>
      </c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2" t="n"/>
    </row>
    <row r="39" ht="18" customHeight="1">
      <c r="A39" s="137" t="n">
        <v>29</v>
      </c>
      <c r="B39" s="146" t="inlineStr">
        <is>
          <t xml:space="preserve">      Calculation rules specification — 20 rules (5 standard + 15 Groovy)</t>
        </is>
      </c>
      <c r="C39" s="139" t="inlineStr">
        <is>
          <t>PwC</t>
        </is>
      </c>
      <c r="D39" s="118" t="n">
        <v>45705</v>
      </c>
      <c r="E39" s="118" t="n">
        <v>45709</v>
      </c>
      <c r="F39" s="117">
        <f>IF(AND(D39&lt;&gt;"",E39&lt;&gt;""),E39-D39,"")</f>
        <v/>
      </c>
      <c r="G39" s="31" t="inlineStr">
        <is>
          <t>Complete</t>
        </is>
      </c>
      <c r="H39" s="198" t="inlineStr">
        <is>
          <t>WF-68,WF-69,WF-74,WF-75,WF-76,WF-77</t>
        </is>
      </c>
      <c r="I39" s="199" t="inlineStr">
        <is>
          <t>DEL-DA-09</t>
        </is>
      </c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32" t="n"/>
    </row>
    <row r="40" ht="16" customHeight="1">
      <c r="A40" s="47" t="inlineStr">
        <is>
          <t>▲</t>
        </is>
      </c>
      <c r="B40" s="48" t="inlineStr">
        <is>
          <t>▲ DESIGN GATE — KDDs, RTM, Architecture &amp; Config Workbook signed off</t>
        </is>
      </c>
      <c r="C40" s="49" t="inlineStr">
        <is>
          <t>Sponsor / CFO</t>
        </is>
      </c>
      <c r="D40" s="122" t="n">
        <v>45716</v>
      </c>
      <c r="E40" s="122" t="n">
        <v>45716</v>
      </c>
      <c r="F40" s="51" t="n"/>
      <c r="G40" s="52" t="inlineStr">
        <is>
          <t>Complete</t>
        </is>
      </c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  <c r="AC40" s="53" t="n"/>
      <c r="AD40" s="53" t="n"/>
      <c r="AE40" s="53" t="n"/>
      <c r="AF40" s="53" t="n"/>
    </row>
    <row r="41" ht="17" customHeight="1">
      <c r="A41" s="40" t="inlineStr"/>
      <c r="B41" s="54" t="inlineStr">
        <is>
          <t>PHASE 2 — PROOF OF CONCEPT  (Late January – February, overlaid with Design)</t>
        </is>
      </c>
      <c r="C41" s="42" t="inlineStr">
        <is>
          <t>PwC</t>
        </is>
      </c>
      <c r="D41" s="123" t="n">
        <v>45684</v>
      </c>
      <c r="E41" s="123" t="n">
        <v>45716</v>
      </c>
      <c r="F41" s="121">
        <f>(E41-D41)</f>
        <v/>
      </c>
      <c r="G41" s="56" t="inlineStr">
        <is>
          <t>Complete</t>
        </is>
      </c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</row>
    <row r="42" ht="18" customHeight="1">
      <c r="A42" s="142" t="n">
        <v>30</v>
      </c>
      <c r="B42" s="147" t="inlineStr">
        <is>
          <t>2.1  POC Environment Setup</t>
        </is>
      </c>
      <c r="C42" s="144" t="inlineStr">
        <is>
          <t>PwC / IT</t>
        </is>
      </c>
      <c r="D42" s="116" t="n">
        <v>45684</v>
      </c>
      <c r="E42" s="116" t="n">
        <v>45688</v>
      </c>
      <c r="F42" s="119">
        <f>IF(AND(D42&lt;&gt;"",E42&lt;&gt;""),E42-D42,"")</f>
        <v/>
      </c>
      <c r="G42" s="31" t="inlineStr">
        <is>
          <t>Complete</t>
        </is>
      </c>
      <c r="H42" s="198" t="inlineStr">
        <is>
          <t>WF-19,WF-28</t>
        </is>
      </c>
      <c r="I42" s="199" t="inlineStr">
        <is>
          <t>DEL-POC-01</t>
        </is>
      </c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32" t="n"/>
    </row>
    <row r="43" ht="18" customHeight="1">
      <c r="A43" s="137" t="n">
        <v>31</v>
      </c>
      <c r="B43" s="146" t="inlineStr">
        <is>
          <t xml:space="preserve">      Oracle PBCS WFP sandbox provisioning (isolated POC instance)</t>
        </is>
      </c>
      <c r="C43" s="139" t="inlineStr">
        <is>
          <t>IT</t>
        </is>
      </c>
      <c r="D43" s="118" t="n">
        <v>45684</v>
      </c>
      <c r="E43" s="118" t="n">
        <v>45688</v>
      </c>
      <c r="F43" s="117">
        <f>IF(AND(D43&lt;&gt;"",E43&lt;&gt;""),E43-D43,"")</f>
        <v/>
      </c>
      <c r="G43" s="31" t="inlineStr">
        <is>
          <t>Complete</t>
        </is>
      </c>
      <c r="H43" s="198" t="inlineStr">
        <is>
          <t>WF-19,WF-28</t>
        </is>
      </c>
      <c r="I43" s="199" t="inlineStr">
        <is>
          <t>DEL-POC-01</t>
        </is>
      </c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</row>
    <row r="44" ht="18" customHeight="1">
      <c r="A44" s="142" t="n">
        <v>32</v>
      </c>
      <c r="B44" s="143" t="inlineStr">
        <is>
          <t xml:space="preserve">      Representative data extract — 50–100 positions, 2-yr actuals sample</t>
        </is>
      </c>
      <c r="C44" s="144" t="inlineStr">
        <is>
          <t>PwC / HR</t>
        </is>
      </c>
      <c r="D44" s="118" t="n">
        <v>45684</v>
      </c>
      <c r="E44" s="118" t="n">
        <v>45688</v>
      </c>
      <c r="F44" s="119">
        <f>IF(AND(D44&lt;&gt;"",E44&lt;&gt;""),E44-D44,"")</f>
        <v/>
      </c>
      <c r="G44" s="31" t="inlineStr">
        <is>
          <t>Complete</t>
        </is>
      </c>
      <c r="H44" s="198" t="inlineStr">
        <is>
          <t>WF-65,WF-10</t>
        </is>
      </c>
      <c r="I44" s="199" t="inlineStr">
        <is>
          <t>DEL-POC-01</t>
        </is>
      </c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2" t="n"/>
    </row>
    <row r="45" ht="18" customHeight="1">
      <c r="A45" s="137" t="n">
        <v>33</v>
      </c>
      <c r="B45" s="138" t="inlineStr">
        <is>
          <t>2.2  POC Build &amp; Validation</t>
        </is>
      </c>
      <c r="C45" s="139" t="inlineStr">
        <is>
          <t>PwC</t>
        </is>
      </c>
      <c r="D45" s="116" t="n">
        <v>45691</v>
      </c>
      <c r="E45" s="116" t="n">
        <v>45709</v>
      </c>
      <c r="F45" s="117">
        <f>IF(AND(D45&lt;&gt;"",E45&lt;&gt;""),E45-D45,"")</f>
        <v/>
      </c>
      <c r="G45" s="31" t="inlineStr">
        <is>
          <t>Complete</t>
        </is>
      </c>
      <c r="H45" s="198" t="inlineStr">
        <is>
          <t>WF-19,WF-68</t>
        </is>
      </c>
      <c r="I45" s="199" t="inlineStr">
        <is>
          <t>DEL-POC-01</t>
        </is>
      </c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32" t="n"/>
    </row>
    <row r="46" ht="18" customHeight="1">
      <c r="A46" s="142" t="n">
        <v>34</v>
      </c>
      <c r="B46" s="143" t="inlineStr">
        <is>
          <t xml:space="preserve">      Core WFP dimension scaffold (Entity, Dept, Job Code, Scenario)</t>
        </is>
      </c>
      <c r="C46" s="144" t="inlineStr">
        <is>
          <t>PwC</t>
        </is>
      </c>
      <c r="D46" s="118" t="n">
        <v>45691</v>
      </c>
      <c r="E46" s="118" t="n">
        <v>45695</v>
      </c>
      <c r="F46" s="119">
        <f>IF(AND(D46&lt;&gt;"",E46&lt;&gt;""),E46-D46,"")</f>
        <v/>
      </c>
      <c r="G46" s="31" t="inlineStr">
        <is>
          <t>Complete</t>
        </is>
      </c>
      <c r="H46" s="198" t="inlineStr">
        <is>
          <t>WF-20,WF-21,WF-23</t>
        </is>
      </c>
      <c r="I46" s="199" t="inlineStr">
        <is>
          <t>DEL-POC-01</t>
        </is>
      </c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</row>
    <row r="47" ht="18" customHeight="1">
      <c r="A47" s="137" t="n">
        <v>35</v>
      </c>
      <c r="B47" s="146" t="inlineStr">
        <is>
          <t xml:space="preserve">      Standard calc rules run (OEP_WFPCalcAll, WFPSpread) on sample data</t>
        </is>
      </c>
      <c r="C47" s="139" t="inlineStr">
        <is>
          <t>PwC</t>
        </is>
      </c>
      <c r="D47" s="118" t="n">
        <v>45691</v>
      </c>
      <c r="E47" s="118" t="n">
        <v>45695</v>
      </c>
      <c r="F47" s="117">
        <f>IF(AND(D47&lt;&gt;"",E47&lt;&gt;""),E47-D47,"")</f>
        <v/>
      </c>
      <c r="G47" s="31" t="inlineStr">
        <is>
          <t>Complete</t>
        </is>
      </c>
      <c r="H47" s="198" t="inlineStr">
        <is>
          <t>WF-68,WF-72</t>
        </is>
      </c>
      <c r="I47" s="199" t="inlineStr">
        <is>
          <t>DEL-POC-01</t>
        </is>
      </c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</row>
    <row r="48" ht="18" customHeight="1">
      <c r="A48" s="142" t="n">
        <v>36</v>
      </c>
      <c r="B48" s="143" t="inlineStr">
        <is>
          <t xml:space="preserve">      Prototype Groovy: salary escalation &amp; benefits loading on sample positions</t>
        </is>
      </c>
      <c r="C48" s="144" t="inlineStr">
        <is>
          <t>PwC</t>
        </is>
      </c>
      <c r="D48" s="118" t="n">
        <v>45698</v>
      </c>
      <c r="E48" s="118" t="n">
        <v>45702</v>
      </c>
      <c r="F48" s="119">
        <f>IF(AND(D48&lt;&gt;"",E48&lt;&gt;""),E48-D48,"")</f>
        <v/>
      </c>
      <c r="G48" s="31" t="inlineStr">
        <is>
          <t>Complete</t>
        </is>
      </c>
      <c r="H48" s="198" t="inlineStr">
        <is>
          <t>WF-70,WF-71,WF-72</t>
        </is>
      </c>
      <c r="I48" s="199" t="inlineStr">
        <is>
          <t>DEL-POC-01</t>
        </is>
      </c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</row>
    <row r="49" ht="18" customHeight="1">
      <c r="A49" s="137" t="n">
        <v>37</v>
      </c>
      <c r="B49" s="146" t="inlineStr">
        <is>
          <t xml:space="preserve">      Driver &amp; assumption table validation (Merit%, COLA%, Benefit_Rates[])</t>
        </is>
      </c>
      <c r="C49" s="139" t="inlineStr">
        <is>
          <t>PwC / Finance</t>
        </is>
      </c>
      <c r="D49" s="118" t="n">
        <v>45698</v>
      </c>
      <c r="E49" s="118" t="n">
        <v>45702</v>
      </c>
      <c r="F49" s="117">
        <f>IF(AND(D49&lt;&gt;"",E49&lt;&gt;""),E49-D49,"")</f>
        <v/>
      </c>
      <c r="G49" s="31" t="inlineStr">
        <is>
          <t>Complete</t>
        </is>
      </c>
      <c r="H49" s="198" t="inlineStr">
        <is>
          <t>WF-70,WF-72</t>
        </is>
      </c>
      <c r="I49" s="199" t="inlineStr">
        <is>
          <t>DEL-POC-01</t>
        </is>
      </c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</row>
    <row r="50" ht="18" customHeight="1">
      <c r="A50" s="142" t="n">
        <v>38</v>
      </c>
      <c r="B50" s="143" t="inlineStr">
        <is>
          <t xml:space="preserve">      OPEX G&amp;A driver prototype — headcount-linked T&amp;E, IT, Facilities</t>
        </is>
      </c>
      <c r="C50" s="144" t="inlineStr">
        <is>
          <t>PwC</t>
        </is>
      </c>
      <c r="D50" s="118" t="n">
        <v>45698</v>
      </c>
      <c r="E50" s="118" t="n">
        <v>45702</v>
      </c>
      <c r="F50" s="119">
        <f>IF(AND(D50&lt;&gt;"",E50&lt;&gt;""),E50-D50,"")</f>
        <v/>
      </c>
      <c r="G50" s="31" t="inlineStr">
        <is>
          <t>Complete</t>
        </is>
      </c>
      <c r="H50" s="198" t="inlineStr">
        <is>
          <t>WF-33,WF-47</t>
        </is>
      </c>
      <c r="I50" s="199" t="inlineStr">
        <is>
          <t>DEL-POC-01</t>
        </is>
      </c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</row>
    <row r="51" ht="18" customHeight="1">
      <c r="A51" s="137" t="n">
        <v>39</v>
      </c>
      <c r="B51" s="146" t="inlineStr">
        <is>
          <t xml:space="preserve">      BOR/ICP below-the-line split — prototype validation with Finance</t>
        </is>
      </c>
      <c r="C51" s="139" t="inlineStr">
        <is>
          <t>PwC / Finance</t>
        </is>
      </c>
      <c r="D51" s="118" t="n">
        <v>45705</v>
      </c>
      <c r="E51" s="118" t="n">
        <v>45709</v>
      </c>
      <c r="F51" s="117">
        <f>IF(AND(D51&lt;&gt;"",E51&lt;&gt;""),E51-D51,"")</f>
        <v/>
      </c>
      <c r="G51" s="31" t="inlineStr">
        <is>
          <t>Complete</t>
        </is>
      </c>
      <c r="H51" s="198" t="inlineStr">
        <is>
          <t>WF-87,WF-04</t>
        </is>
      </c>
      <c r="I51" s="199" t="inlineStr">
        <is>
          <t>DEL-POC-01</t>
        </is>
      </c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</row>
    <row r="52" ht="18" customHeight="1">
      <c r="A52" s="142" t="n">
        <v>40</v>
      </c>
      <c r="B52" s="143" t="inlineStr">
        <is>
          <t xml:space="preserve">      Performance test — calc run time on representative data volume</t>
        </is>
      </c>
      <c r="C52" s="144" t="inlineStr">
        <is>
          <t>PwC</t>
        </is>
      </c>
      <c r="D52" s="118" t="n">
        <v>45705</v>
      </c>
      <c r="E52" s="118" t="n">
        <v>45709</v>
      </c>
      <c r="F52" s="119">
        <f>IF(AND(D52&lt;&gt;"",E52&lt;&gt;""),E52-D52,"")</f>
        <v/>
      </c>
      <c r="G52" s="31" t="inlineStr">
        <is>
          <t>Complete</t>
        </is>
      </c>
      <c r="H52" s="198" t="inlineStr">
        <is>
          <t>WF-23</t>
        </is>
      </c>
      <c r="I52" s="199" t="inlineStr">
        <is>
          <t>DEL-POC-01</t>
        </is>
      </c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</row>
    <row r="53" ht="18" customHeight="1">
      <c r="A53" s="137" t="n">
        <v>41</v>
      </c>
      <c r="B53" s="138" t="inlineStr">
        <is>
          <t>2.3  POC Findings &amp; Design Confirmation</t>
        </is>
      </c>
      <c r="C53" s="139" t="inlineStr">
        <is>
          <t>PwC / Finance</t>
        </is>
      </c>
      <c r="D53" s="116" t="n">
        <v>45712</v>
      </c>
      <c r="E53" s="116" t="n">
        <v>45716</v>
      </c>
      <c r="F53" s="117">
        <f>IF(AND(D53&lt;&gt;"",E53&lt;&gt;""),E53-D53,"")</f>
        <v/>
      </c>
      <c r="G53" s="31" t="inlineStr">
        <is>
          <t>Complete</t>
        </is>
      </c>
      <c r="H53" s="198" t="inlineStr">
        <is>
          <t>WF-19,WF-28</t>
        </is>
      </c>
      <c r="I53" s="199" t="inlineStr">
        <is>
          <t>DEL-POC-01</t>
        </is>
      </c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</row>
    <row r="54" ht="18" customHeight="1">
      <c r="A54" s="142" t="n">
        <v>42</v>
      </c>
      <c r="B54" s="143" t="inlineStr">
        <is>
          <t xml:space="preserve">      POC findings report — validated assumptions, open issues, design changes</t>
        </is>
      </c>
      <c r="C54" s="144" t="inlineStr">
        <is>
          <t>PwC</t>
        </is>
      </c>
      <c r="D54" s="118" t="n">
        <v>45712</v>
      </c>
      <c r="E54" s="118" t="n">
        <v>45716</v>
      </c>
      <c r="F54" s="119">
        <f>IF(AND(D54&lt;&gt;"",E54&lt;&gt;""),E54-D54,"")</f>
        <v/>
      </c>
      <c r="G54" s="31" t="inlineStr">
        <is>
          <t>Complete</t>
        </is>
      </c>
      <c r="H54" s="198" t="inlineStr">
        <is>
          <t>WF-19,WF-84</t>
        </is>
      </c>
      <c r="I54" s="199" t="inlineStr">
        <is>
          <t>DEL-POC-01</t>
        </is>
      </c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</row>
    <row r="55" ht="18" customHeight="1">
      <c r="A55" s="137" t="n">
        <v>43</v>
      </c>
      <c r="B55" s="146" t="inlineStr">
        <is>
          <t xml:space="preserve">      Design updates from POC findings — incorporated into Config Workbook</t>
        </is>
      </c>
      <c r="C55" s="139" t="inlineStr">
        <is>
          <t>PwC</t>
        </is>
      </c>
      <c r="D55" s="118" t="n">
        <v>45712</v>
      </c>
      <c r="E55" s="118" t="n">
        <v>45716</v>
      </c>
      <c r="F55" s="117">
        <f>IF(AND(D55&lt;&gt;"",E55&lt;&gt;""),E55-D55,"")</f>
        <v/>
      </c>
      <c r="G55" s="31" t="inlineStr">
        <is>
          <t>Complete</t>
        </is>
      </c>
      <c r="H55" s="198" t="inlineStr">
        <is>
          <t>WF-19,WF-84</t>
        </is>
      </c>
      <c r="I55" s="199" t="inlineStr">
        <is>
          <t>DEL-POC-01</t>
        </is>
      </c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</row>
    <row r="56" ht="18" customHeight="1">
      <c r="A56" s="142" t="n">
        <v>44</v>
      </c>
      <c r="B56" s="143" t="inlineStr">
        <is>
          <t xml:space="preserve">      POC sign-off — Finance &amp; IT confirm design is fit for Build</t>
        </is>
      </c>
      <c r="C56" s="144" t="inlineStr">
        <is>
          <t>Finance / IT</t>
        </is>
      </c>
      <c r="D56" s="118" t="n">
        <v>45716</v>
      </c>
      <c r="E56" s="118" t="n">
        <v>45716</v>
      </c>
      <c r="F56" s="119">
        <f>IF(AND(D56&lt;&gt;"",E56&lt;&gt;""),E56-D56,"")</f>
        <v/>
      </c>
      <c r="G56" s="31" t="inlineStr">
        <is>
          <t>Complete</t>
        </is>
      </c>
      <c r="H56" s="198" t="inlineStr">
        <is>
          <t>WF-19</t>
        </is>
      </c>
      <c r="I56" s="199" t="inlineStr">
        <is>
          <t>DEL-POC-01</t>
        </is>
      </c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</row>
    <row r="57" ht="17" customHeight="1">
      <c r="A57" s="40" t="inlineStr"/>
      <c r="B57" s="58" t="inlineStr">
        <is>
          <t>PHASE 3 — BUILD: AGILE SPRINTS 1–4  (March – June)</t>
        </is>
      </c>
      <c r="C57" s="42" t="inlineStr">
        <is>
          <t>PwC</t>
        </is>
      </c>
      <c r="D57" s="124" t="n">
        <v>45719</v>
      </c>
      <c r="E57" s="124" t="n">
        <v>45835</v>
      </c>
      <c r="F57" s="121">
        <f>(E57-D57)</f>
        <v/>
      </c>
      <c r="G57" s="60" t="inlineStr">
        <is>
          <t>In Progress</t>
        </is>
      </c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</row>
    <row r="58" ht="18" customHeight="1">
      <c r="A58" s="137" t="n">
        <v>45</v>
      </c>
      <c r="B58" s="138" t="inlineStr">
        <is>
          <t>SPRINT 1 — Core Application &amp; Environment Setup  (Mar 3 – Mar 28)</t>
        </is>
      </c>
      <c r="C58" s="139" t="inlineStr">
        <is>
          <t>PwC / IT</t>
        </is>
      </c>
      <c r="D58" s="116" t="n">
        <v>45719</v>
      </c>
      <c r="E58" s="116" t="n">
        <v>45744</v>
      </c>
      <c r="F58" s="117">
        <f>IF(AND(D58&lt;&gt;"",E58&lt;&gt;""),E58-D58,"")</f>
        <v/>
      </c>
      <c r="G58" s="61" t="inlineStr">
        <is>
          <t>In Progress</t>
        </is>
      </c>
      <c r="H58" s="198" t="inlineStr">
        <is>
          <t>WF-01,WF-02,WF-19,WF-27,WF-41</t>
        </is>
      </c>
      <c r="I58" s="199" t="inlineStr">
        <is>
          <t>DEL-S1-01 to S1-08</t>
        </is>
      </c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</row>
    <row r="59" ht="18" customHeight="1">
      <c r="A59" s="142" t="n">
        <v>46</v>
      </c>
      <c r="B59" s="143" t="inlineStr">
        <is>
          <t xml:space="preserve">      Oracle PBCS WFP module provisioning — DEV / TEST / UAT / PROD environments</t>
        </is>
      </c>
      <c r="C59" s="144" t="inlineStr">
        <is>
          <t>IT</t>
        </is>
      </c>
      <c r="D59" s="118" t="n">
        <v>45719</v>
      </c>
      <c r="E59" s="118" t="n">
        <v>45723</v>
      </c>
      <c r="F59" s="119">
        <f>IF(AND(D59&lt;&gt;"",E59&lt;&gt;""),E59-D59,"")</f>
        <v/>
      </c>
      <c r="G59" s="61" t="inlineStr">
        <is>
          <t>In Progress</t>
        </is>
      </c>
      <c r="H59" s="198" t="inlineStr">
        <is>
          <t>WF-01,WF-27</t>
        </is>
      </c>
      <c r="I59" s="199" t="inlineStr">
        <is>
          <t>DEL-S1-02,S1-03</t>
        </is>
      </c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</row>
    <row r="60" ht="18" customHeight="1">
      <c r="A60" s="137" t="n">
        <v>47</v>
      </c>
      <c r="B60" s="146" t="inlineStr">
        <is>
          <t xml:space="preserve">      SSO &amp; identity provisioning (Azure AD / Okta); MFA enforcement</t>
        </is>
      </c>
      <c r="C60" s="139" t="inlineStr">
        <is>
          <t>IT Security</t>
        </is>
      </c>
      <c r="D60" s="118" t="n">
        <v>45719</v>
      </c>
      <c r="E60" s="118" t="n">
        <v>45723</v>
      </c>
      <c r="F60" s="117">
        <f>IF(AND(D60&lt;&gt;"",E60&lt;&gt;""),E60-D60,"")</f>
        <v/>
      </c>
      <c r="G60" s="61" t="inlineStr">
        <is>
          <t>In Progress</t>
        </is>
      </c>
      <c r="H60" s="198" t="inlineStr">
        <is>
          <t>WF-58,WF-59,WF-63</t>
        </is>
      </c>
      <c r="I60" s="199" t="inlineStr">
        <is>
          <t>DEL-S1-06</t>
        </is>
      </c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</row>
    <row r="61" ht="18" customHeight="1">
      <c r="A61" s="142" t="n">
        <v>48</v>
      </c>
      <c r="B61" s="143" t="inlineStr">
        <is>
          <t xml:space="preserve">      Security roles build — Planner, Reviewer, Admin, Read-Only (DEV)</t>
        </is>
      </c>
      <c r="C61" s="144" t="inlineStr">
        <is>
          <t>IT / PwC</t>
        </is>
      </c>
      <c r="D61" s="118" t="n">
        <v>45726</v>
      </c>
      <c r="E61" s="118" t="n">
        <v>45730</v>
      </c>
      <c r="F61" s="119">
        <f>IF(AND(D61&lt;&gt;"",E61&lt;&gt;""),E61-D61,"")</f>
        <v/>
      </c>
      <c r="G61" s="61" t="inlineStr">
        <is>
          <t>In Progress</t>
        </is>
      </c>
      <c r="H61" s="198" t="inlineStr">
        <is>
          <t>WF-60,WF-62,WF-63</t>
        </is>
      </c>
      <c r="I61" s="199" t="inlineStr">
        <is>
          <t>DEL-S1-06</t>
        </is>
      </c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</row>
    <row r="62" ht="18" customHeight="1">
      <c r="A62" s="137" t="n">
        <v>49</v>
      </c>
      <c r="B62" s="146" t="inlineStr">
        <is>
          <t xml:space="preserve">      Full metadata load — all 7 dimensions &amp; hierarchies (DEV)</t>
        </is>
      </c>
      <c r="C62" s="139" t="inlineStr">
        <is>
          <t>PwC</t>
        </is>
      </c>
      <c r="D62" s="118" t="n">
        <v>45726</v>
      </c>
      <c r="E62" s="118" t="n">
        <v>45737</v>
      </c>
      <c r="F62" s="117">
        <f>IF(AND(D62&lt;&gt;"",E62&lt;&gt;""),E62-D62,"")</f>
        <v/>
      </c>
      <c r="G62" s="61" t="inlineStr">
        <is>
          <t>In Progress</t>
        </is>
      </c>
      <c r="H62" s="198" t="inlineStr">
        <is>
          <t>WF-20,WF-21,WF-23,WF-24,WF-32</t>
        </is>
      </c>
      <c r="I62" s="199" t="inlineStr">
        <is>
          <t>DEL-S1-08</t>
        </is>
      </c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</row>
    <row r="63" ht="18" customHeight="1">
      <c r="A63" s="142" t="n">
        <v>50</v>
      </c>
      <c r="B63" s="143" t="inlineStr">
        <is>
          <t xml:space="preserve">      Application settings — planning unit hierarchy, approval workflow config</t>
        </is>
      </c>
      <c r="C63" s="144" t="inlineStr">
        <is>
          <t>PwC</t>
        </is>
      </c>
      <c r="D63" s="118" t="n">
        <v>45733</v>
      </c>
      <c r="E63" s="118" t="n">
        <v>45737</v>
      </c>
      <c r="F63" s="119">
        <f>IF(AND(D63&lt;&gt;"",E63&lt;&gt;""),E63-D63,"")</f>
        <v/>
      </c>
      <c r="G63" s="141" t="inlineStr">
        <is>
          <t>Planned</t>
        </is>
      </c>
      <c r="H63" s="198" t="inlineStr">
        <is>
          <t>WF-02,WF-41</t>
        </is>
      </c>
      <c r="I63" s="199" t="inlineStr">
        <is>
          <t>DEL-S1-02</t>
        </is>
      </c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</row>
    <row r="64" ht="18" customHeight="1">
      <c r="A64" s="137" t="n">
        <v>51</v>
      </c>
      <c r="B64" s="146" t="inlineStr">
        <is>
          <t xml:space="preserve">      Position master build — 500+ active &amp; proposed positions loaded</t>
        </is>
      </c>
      <c r="C64" s="139" t="inlineStr">
        <is>
          <t>PwC / HR</t>
        </is>
      </c>
      <c r="D64" s="118" t="n">
        <v>45733</v>
      </c>
      <c r="E64" s="118" t="n">
        <v>45744</v>
      </c>
      <c r="F64" s="117">
        <f>IF(AND(D64&lt;&gt;"",E64&lt;&gt;""),E64-D64,"")</f>
        <v/>
      </c>
      <c r="G64" s="141" t="inlineStr">
        <is>
          <t>Planned</t>
        </is>
      </c>
      <c r="H64" s="198" t="inlineStr">
        <is>
          <t>WF-19,WF-28,WF-31</t>
        </is>
      </c>
      <c r="I64" s="199" t="inlineStr">
        <is>
          <t>DEL-S1-04</t>
        </is>
      </c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</row>
    <row r="65" ht="18" customHeight="1">
      <c r="A65" s="142" t="n">
        <v>52</v>
      </c>
      <c r="B65" s="143" t="inlineStr">
        <is>
          <t xml:space="preserve">      Standard Oracle WFP calc rules deployed: OEP_WFPCalcAll, WFPClearAll, WFPSpread, WFPAggregateAll, WFPCalcByEntity</t>
        </is>
      </c>
      <c r="C65" s="144" t="inlineStr">
        <is>
          <t>PwC</t>
        </is>
      </c>
      <c r="D65" s="118" t="n">
        <v>45733</v>
      </c>
      <c r="E65" s="118" t="n">
        <v>45744</v>
      </c>
      <c r="F65" s="119">
        <f>IF(AND(D65&lt;&gt;"",E65&lt;&gt;""),E65-D65,"")</f>
        <v/>
      </c>
      <c r="G65" s="141" t="inlineStr">
        <is>
          <t>Planned</t>
        </is>
      </c>
      <c r="H65" s="198" t="inlineStr">
        <is>
          <t>WF-68,WF-70</t>
        </is>
      </c>
      <c r="I65" s="199" t="inlineStr">
        <is>
          <t>DEL-S1-01</t>
        </is>
      </c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</row>
    <row r="66" ht="18" customHeight="1">
      <c r="A66" s="137" t="n">
        <v>53</v>
      </c>
      <c r="B66" s="146" t="inlineStr">
        <is>
          <t xml:space="preserve">      Data conversion: initial position &amp; org hierarchy load from HRIS (DEV)</t>
        </is>
      </c>
      <c r="C66" s="139" t="inlineStr">
        <is>
          <t>PwC / IT</t>
        </is>
      </c>
      <c r="D66" s="118" t="n">
        <v>45740</v>
      </c>
      <c r="E66" s="118" t="n">
        <v>45744</v>
      </c>
      <c r="F66" s="117">
        <f>IF(AND(D66&lt;&gt;"",E66&lt;&gt;""),E66-D66,"")</f>
        <v/>
      </c>
      <c r="G66" s="141" t="inlineStr">
        <is>
          <t>Planned</t>
        </is>
      </c>
      <c r="H66" s="198" t="inlineStr">
        <is>
          <t>WF-10,WF-65</t>
        </is>
      </c>
      <c r="I66" s="199" t="inlineStr">
        <is>
          <t>DEL-S1-04</t>
        </is>
      </c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</row>
    <row r="67" ht="18" customHeight="1">
      <c r="A67" s="142" t="n">
        <v>54</v>
      </c>
      <c r="B67" s="143" t="inlineStr">
        <is>
          <t xml:space="preserve">      Sprint 1 Playback — environment demo; metadata validation; std calc rules</t>
        </is>
      </c>
      <c r="C67" s="144" t="inlineStr">
        <is>
          <t>PMO / Finance</t>
        </is>
      </c>
      <c r="D67" s="118" t="n">
        <v>45744</v>
      </c>
      <c r="E67" s="118" t="n">
        <v>45744</v>
      </c>
      <c r="F67" s="119">
        <f>IF(AND(D67&lt;&gt;"",E67&lt;&gt;""),E67-D67,"")</f>
        <v/>
      </c>
      <c r="G67" s="141" t="inlineStr">
        <is>
          <t>Planned</t>
        </is>
      </c>
      <c r="H67" s="198" t="inlineStr">
        <is>
          <t>WF-19,WF-27</t>
        </is>
      </c>
      <c r="I67" s="199" t="inlineStr">
        <is>
          <t>DEL-S1-04</t>
        </is>
      </c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</row>
    <row r="68" ht="18" customHeight="1">
      <c r="A68" s="137" t="n">
        <v>55</v>
      </c>
      <c r="B68" s="138" t="inlineStr">
        <is>
          <t>SPRINT 2 — Baseline Workflows &amp; Integrations  (Mar 31 – Apr 25)</t>
        </is>
      </c>
      <c r="C68" s="139" t="inlineStr">
        <is>
          <t>PwC / IT</t>
        </is>
      </c>
      <c r="D68" s="116" t="n">
        <v>45747</v>
      </c>
      <c r="E68" s="116" t="n">
        <v>45772</v>
      </c>
      <c r="F68" s="117">
        <f>IF(AND(D68&lt;&gt;"",E68&lt;&gt;""),E68-D68,"")</f>
        <v/>
      </c>
      <c r="G68" s="141" t="inlineStr">
        <is>
          <t>Planned</t>
        </is>
      </c>
      <c r="H68" s="198" t="inlineStr">
        <is>
          <t>WF-10,WF-17,WF-65,WF-66,WF-67</t>
        </is>
      </c>
      <c r="I68" s="199" t="inlineStr">
        <is>
          <t>DEL-S2-01 to S2-08</t>
        </is>
      </c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</row>
    <row r="69" ht="18" customHeight="1">
      <c r="A69" s="142" t="n">
        <v>56</v>
      </c>
      <c r="B69" s="143" t="inlineStr">
        <is>
          <t xml:space="preserve">      Planning unit hierarchy — dept-level budget ownership &amp; approval routing</t>
        </is>
      </c>
      <c r="C69" s="144" t="inlineStr">
        <is>
          <t>PwC / Finance</t>
        </is>
      </c>
      <c r="D69" s="118" t="n">
        <v>45747</v>
      </c>
      <c r="E69" s="118" t="n">
        <v>45751</v>
      </c>
      <c r="F69" s="119">
        <f>IF(AND(D69&lt;&gt;"",E69&lt;&gt;""),E69-D69,"")</f>
        <v/>
      </c>
      <c r="G69" s="141" t="inlineStr">
        <is>
          <t>Planned</t>
        </is>
      </c>
      <c r="H69" s="198" t="inlineStr">
        <is>
          <t>WF-39,WF-55</t>
        </is>
      </c>
      <c r="I69" s="199" t="inlineStr">
        <is>
          <t>DEL-S2-06</t>
        </is>
      </c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</row>
    <row r="70" ht="18" customHeight="1">
      <c r="A70" s="137" t="n">
        <v>57</v>
      </c>
      <c r="B70" s="146" t="inlineStr">
        <is>
          <t xml:space="preserve">      Scenario / Version strategy — Budget, Forecast Q1–Q3, Plan, Actual</t>
        </is>
      </c>
      <c r="C70" s="139" t="inlineStr">
        <is>
          <t>PwC</t>
        </is>
      </c>
      <c r="D70" s="118" t="n">
        <v>45747</v>
      </c>
      <c r="E70" s="118" t="n">
        <v>45751</v>
      </c>
      <c r="F70" s="117">
        <f>IF(AND(D70&lt;&gt;"",E70&lt;&gt;""),E70-D70,"")</f>
        <v/>
      </c>
      <c r="G70" s="141" t="inlineStr">
        <is>
          <t>Planned</t>
        </is>
      </c>
      <c r="H70" s="198" t="inlineStr">
        <is>
          <t>WF-27,WF-22,WF-38</t>
        </is>
      </c>
      <c r="I70" s="199" t="inlineStr">
        <is>
          <t>DEL-S2-06</t>
        </is>
      </c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</row>
    <row r="71" ht="18" customHeight="1">
      <c r="A71" s="142" t="n">
        <v>58</v>
      </c>
      <c r="B71" s="143" t="inlineStr">
        <is>
          <t xml:space="preserve">      Planning calendar configuration — submission windows, lock/unlock cycles</t>
        </is>
      </c>
      <c r="C71" s="144" t="inlineStr">
        <is>
          <t>PwC / Finance</t>
        </is>
      </c>
      <c r="D71" s="118" t="n">
        <v>45754</v>
      </c>
      <c r="E71" s="118" t="n">
        <v>45758</v>
      </c>
      <c r="F71" s="119">
        <f>IF(AND(D71&lt;&gt;"",E71&lt;&gt;""),E71-D71,"")</f>
        <v/>
      </c>
      <c r="G71" s="141" t="inlineStr">
        <is>
          <t>Planned</t>
        </is>
      </c>
      <c r="H71" s="198" t="inlineStr">
        <is>
          <t>WF-86</t>
        </is>
      </c>
      <c r="I71" s="199" t="inlineStr">
        <is>
          <t>DEL-S2-06</t>
        </is>
      </c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</row>
    <row r="72" ht="18" customHeight="1">
      <c r="A72" s="137" t="n">
        <v>59</v>
      </c>
      <c r="B72" s="146" t="inlineStr">
        <is>
          <t xml:space="preserve">      HRIS (Workday) → Oracle EPM integration — position/employee extract build</t>
        </is>
      </c>
      <c r="C72" s="139" t="inlineStr">
        <is>
          <t>IT / PwC</t>
        </is>
      </c>
      <c r="D72" s="118" t="n">
        <v>45754</v>
      </c>
      <c r="E72" s="118" t="n">
        <v>45765</v>
      </c>
      <c r="F72" s="117">
        <f>IF(AND(D72&lt;&gt;"",E72&lt;&gt;""),E72-D72,"")</f>
        <v/>
      </c>
      <c r="G72" s="141" t="inlineStr">
        <is>
          <t>Planned</t>
        </is>
      </c>
      <c r="H72" s="198" t="inlineStr">
        <is>
          <t>WF-10,WF-12,WF-17</t>
        </is>
      </c>
      <c r="I72" s="199" t="inlineStr">
        <is>
          <t>DEL-S2-01</t>
        </is>
      </c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2" t="n"/>
    </row>
    <row r="73" ht="18" customHeight="1">
      <c r="A73" s="142" t="n">
        <v>60</v>
      </c>
      <c r="B73" s="143" t="inlineStr">
        <is>
          <t xml:space="preserve">      GL Actuals (ERP) → EPM integration via EPM Data Management</t>
        </is>
      </c>
      <c r="C73" s="144" t="inlineStr">
        <is>
          <t>IT / PwC</t>
        </is>
      </c>
      <c r="D73" s="118" t="n">
        <v>45754</v>
      </c>
      <c r="E73" s="118" t="n">
        <v>45765</v>
      </c>
      <c r="F73" s="119">
        <f>IF(AND(D73&lt;&gt;"",E73&lt;&gt;""),E73-D73,"")</f>
        <v/>
      </c>
      <c r="G73" s="141" t="inlineStr">
        <is>
          <t>Planned</t>
        </is>
      </c>
      <c r="H73" s="198" t="inlineStr">
        <is>
          <t>WF-15,WF-10</t>
        </is>
      </c>
      <c r="I73" s="199" t="inlineStr">
        <is>
          <t>DEL-S2-02</t>
        </is>
      </c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  <c r="AA73" s="32" t="n"/>
      <c r="AB73" s="32" t="n"/>
      <c r="AC73" s="32" t="n"/>
      <c r="AD73" s="32" t="n"/>
      <c r="AE73" s="32" t="n"/>
      <c r="AF73" s="32" t="n"/>
    </row>
    <row r="74" ht="18" customHeight="1">
      <c r="A74" s="137" t="n">
        <v>61</v>
      </c>
      <c r="B74" s="146" t="inlineStr">
        <is>
          <t xml:space="preserve">      EPM Automate — nightly data load scheduler build &amp; testing</t>
        </is>
      </c>
      <c r="C74" s="139" t="inlineStr">
        <is>
          <t>IT</t>
        </is>
      </c>
      <c r="D74" s="118" t="n">
        <v>45761</v>
      </c>
      <c r="E74" s="118" t="n">
        <v>45765</v>
      </c>
      <c r="F74" s="117">
        <f>IF(AND(D74&lt;&gt;"",E74&lt;&gt;""),E74-D74,"")</f>
        <v/>
      </c>
      <c r="G74" s="141" t="inlineStr">
        <is>
          <t>Planned</t>
        </is>
      </c>
      <c r="H74" s="198" t="inlineStr">
        <is>
          <t>WF-17,WF-12</t>
        </is>
      </c>
      <c r="I74" s="199" t="inlineStr">
        <is>
          <t>DEL-S2-08</t>
        </is>
      </c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</row>
    <row r="75" ht="18" customHeight="1">
      <c r="A75" s="142" t="n">
        <v>62</v>
      </c>
      <c r="B75" s="143" t="inlineStr">
        <is>
          <t xml:space="preserve">      Data conversion: GL actuals (3 yrs) &amp; FY25 Budget/Forecast load to DEV</t>
        </is>
      </c>
      <c r="C75" s="144" t="inlineStr">
        <is>
          <t>PwC / IT</t>
        </is>
      </c>
      <c r="D75" s="118" t="n">
        <v>45761</v>
      </c>
      <c r="E75" s="118" t="n">
        <v>45772</v>
      </c>
      <c r="F75" s="119">
        <f>IF(AND(D75&lt;&gt;"",E75&lt;&gt;""),E75-D75,"")</f>
        <v/>
      </c>
      <c r="G75" s="141" t="inlineStr">
        <is>
          <t>Planned</t>
        </is>
      </c>
      <c r="H75" s="198" t="inlineStr">
        <is>
          <t>WF-08,WF-09,WF-49</t>
        </is>
      </c>
      <c r="I75" s="199" t="inlineStr">
        <is>
          <t>DEL-S2-04</t>
        </is>
      </c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  <c r="AE75" s="32" t="n"/>
      <c r="AF75" s="32" t="n"/>
    </row>
    <row r="76" ht="18" customHeight="1">
      <c r="A76" s="137" t="n">
        <v>63</v>
      </c>
      <c r="B76" s="146" t="inlineStr">
        <is>
          <t xml:space="preserve">      Integration smoke testing — end-to-end data flow validation</t>
        </is>
      </c>
      <c r="C76" s="139" t="inlineStr">
        <is>
          <t>PwC / IT</t>
        </is>
      </c>
      <c r="D76" s="118" t="n">
        <v>45768</v>
      </c>
      <c r="E76" s="118" t="n">
        <v>45772</v>
      </c>
      <c r="F76" s="117">
        <f>IF(AND(D76&lt;&gt;"",E76&lt;&gt;""),E76-D76,"")</f>
        <v/>
      </c>
      <c r="G76" s="141" t="inlineStr">
        <is>
          <t>Planned</t>
        </is>
      </c>
      <c r="H76" s="198" t="inlineStr">
        <is>
          <t>WF-11,WF-16</t>
        </is>
      </c>
      <c r="I76" s="199" t="inlineStr">
        <is>
          <t>DEL-S2-03</t>
        </is>
      </c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  <c r="AE76" s="32" t="n"/>
      <c r="AF76" s="32" t="n"/>
    </row>
    <row r="77" ht="18" customHeight="1">
      <c r="A77" s="142" t="n">
        <v>64</v>
      </c>
      <c r="B77" s="143" t="inlineStr">
        <is>
          <t xml:space="preserve">      Sprint 2 Playback — integration demo; historical data in DEV; workflow walkthrough</t>
        </is>
      </c>
      <c r="C77" s="144" t="inlineStr">
        <is>
          <t>PMO / Finance</t>
        </is>
      </c>
      <c r="D77" s="118" t="n">
        <v>45772</v>
      </c>
      <c r="E77" s="118" t="n">
        <v>45772</v>
      </c>
      <c r="F77" s="119">
        <f>IF(AND(D77&lt;&gt;"",E77&lt;&gt;""),E77-D77,"")</f>
        <v/>
      </c>
      <c r="G77" s="141" t="inlineStr">
        <is>
          <t>Planned</t>
        </is>
      </c>
      <c r="H77" s="198" t="inlineStr">
        <is>
          <t>WF-10,WF-65</t>
        </is>
      </c>
      <c r="I77" s="199" t="inlineStr">
        <is>
          <t>DEL-S2-05</t>
        </is>
      </c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</row>
    <row r="78" ht="18" customHeight="1">
      <c r="A78" s="137" t="n">
        <v>65</v>
      </c>
      <c r="B78" s="138" t="inlineStr">
        <is>
          <t>SPRINT 3 — Workforce Logic, Calculations &amp; Automation  (Apr 28 – May 30)</t>
        </is>
      </c>
      <c r="C78" s="139" t="inlineStr">
        <is>
          <t>PwC</t>
        </is>
      </c>
      <c r="D78" s="116" t="n">
        <v>45775</v>
      </c>
      <c r="E78" s="116" t="n">
        <v>45807</v>
      </c>
      <c r="F78" s="117">
        <f>IF(AND(D78&lt;&gt;"",E78&lt;&gt;""),E78-D78,"")</f>
        <v/>
      </c>
      <c r="G78" s="141" t="inlineStr">
        <is>
          <t>Planned</t>
        </is>
      </c>
      <c r="H78" s="198" t="inlineStr">
        <is>
          <t>WF-68,WF-69,WF-70,WF-72,WF-74,WF-75,WF-76,WF-77,WF-79,WF-81,WF-83</t>
        </is>
      </c>
      <c r="I78" s="199" t="inlineStr">
        <is>
          <t>DEL-S3-01 to S3-06</t>
        </is>
      </c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32" t="n"/>
      <c r="AE78" s="32" t="n"/>
      <c r="AF78" s="32" t="n"/>
    </row>
    <row r="79" ht="18" customHeight="1">
      <c r="A79" s="142" t="n">
        <v>66</v>
      </c>
      <c r="B79" s="143" t="inlineStr">
        <is>
          <t xml:space="preserve">      CUST_SalaryEscalation: Merit % by Job Grade &amp; Seniority; roll-forward from actuals</t>
        </is>
      </c>
      <c r="C79" s="144" t="inlineStr">
        <is>
          <t>PwC</t>
        </is>
      </c>
      <c r="D79" s="118" t="n">
        <v>45775</v>
      </c>
      <c r="E79" s="118" t="n">
        <v>45786</v>
      </c>
      <c r="F79" s="119">
        <f>IF(AND(D79&lt;&gt;"",E79&lt;&gt;""),E79-D79,"")</f>
        <v/>
      </c>
      <c r="G79" s="141" t="inlineStr">
        <is>
          <t>Planned</t>
        </is>
      </c>
      <c r="H79" s="198" t="inlineStr">
        <is>
          <t>WF-70,WF-71,WF-85</t>
        </is>
      </c>
      <c r="I79" s="199" t="inlineStr">
        <is>
          <t>DEL-S3-01</t>
        </is>
      </c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  <c r="AA79" s="32" t="n"/>
      <c r="AB79" s="32" t="n"/>
      <c r="AC79" s="32" t="n"/>
      <c r="AD79" s="32" t="n"/>
      <c r="AE79" s="32" t="n"/>
      <c r="AF79" s="32" t="n"/>
    </row>
    <row r="80" ht="18" customHeight="1">
      <c r="A80" s="137" t="n">
        <v>67</v>
      </c>
      <c r="B80" s="146" t="inlineStr">
        <is>
          <t xml:space="preserve">      CUST_COLAAdjustment: CPI-linked COLA; unionized vs non-unionized treatment</t>
        </is>
      </c>
      <c r="C80" s="139" t="inlineStr">
        <is>
          <t>PwC</t>
        </is>
      </c>
      <c r="D80" s="118" t="n">
        <v>45775</v>
      </c>
      <c r="E80" s="118" t="n">
        <v>45786</v>
      </c>
      <c r="F80" s="117">
        <f>IF(AND(D80&lt;&gt;"",E80&lt;&gt;""),E80-D80,"")</f>
        <v/>
      </c>
      <c r="G80" s="141" t="inlineStr">
        <is>
          <t>Planned</t>
        </is>
      </c>
      <c r="H80" s="198" t="inlineStr">
        <is>
          <t>WF-70</t>
        </is>
      </c>
      <c r="I80" s="199" t="inlineStr">
        <is>
          <t>DEL-S3-01</t>
        </is>
      </c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  <c r="AA80" s="32" t="n"/>
      <c r="AB80" s="32" t="n"/>
      <c r="AC80" s="32" t="n"/>
      <c r="AD80" s="32" t="n"/>
      <c r="AE80" s="32" t="n"/>
      <c r="AF80" s="32" t="n"/>
    </row>
    <row r="81" ht="18" customHeight="1">
      <c r="A81" s="142" t="n">
        <v>68</v>
      </c>
      <c r="B81" s="143" t="inlineStr">
        <is>
          <t xml:space="preserve">      CUST_BonusCalc: STI = Base × Bonus_Target_Pct × Perf_Modifier (scenario-driven)</t>
        </is>
      </c>
      <c r="C81" s="144" t="inlineStr">
        <is>
          <t>PwC</t>
        </is>
      </c>
      <c r="D81" s="118" t="n">
        <v>45782</v>
      </c>
      <c r="E81" s="118" t="n">
        <v>45793</v>
      </c>
      <c r="F81" s="119">
        <f>IF(AND(D81&lt;&gt;"",E81&lt;&gt;""),E81-D81,"")</f>
        <v/>
      </c>
      <c r="G81" s="141" t="inlineStr">
        <is>
          <t>Planned</t>
        </is>
      </c>
      <c r="H81" s="198" t="inlineStr">
        <is>
          <t>WF-75</t>
        </is>
      </c>
      <c r="I81" s="199" t="inlineStr">
        <is>
          <t>DEL-S3-02</t>
        </is>
      </c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  <c r="AE81" s="32" t="n"/>
      <c r="AF81" s="32" t="n"/>
    </row>
    <row r="82" ht="18" customHeight="1">
      <c r="A82" s="137" t="n">
        <v>69</v>
      </c>
      <c r="B82" s="146" t="inlineStr">
        <is>
          <t xml:space="preserve">      CUST_BenefitsLoading: CPP, EI, WSIB, Group Benefits, Pension match (FT vs PT)</t>
        </is>
      </c>
      <c r="C82" s="139" t="inlineStr">
        <is>
          <t>PwC</t>
        </is>
      </c>
      <c r="D82" s="118" t="n">
        <v>45782</v>
      </c>
      <c r="E82" s="118" t="n">
        <v>45793</v>
      </c>
      <c r="F82" s="117">
        <f>IF(AND(D82&lt;&gt;"",E82&lt;&gt;""),E82-D82,"")</f>
        <v/>
      </c>
      <c r="G82" s="141" t="inlineStr">
        <is>
          <t>Planned</t>
        </is>
      </c>
      <c r="H82" s="198" t="inlineStr">
        <is>
          <t>WF-72</t>
        </is>
      </c>
      <c r="I82" s="199" t="inlineStr">
        <is>
          <t>DEL-S3-01</t>
        </is>
      </c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</row>
    <row r="83" ht="18" customHeight="1">
      <c r="A83" s="142" t="n">
        <v>70</v>
      </c>
      <c r="B83" s="143" t="inlineStr">
        <is>
          <t xml:space="preserve">      CUST_VacancyRate &amp; CUST_FTEGapAnalysis: approved vs filled; gap threshold flag</t>
        </is>
      </c>
      <c r="C83" s="144" t="inlineStr">
        <is>
          <t>PwC</t>
        </is>
      </c>
      <c r="D83" s="118" t="n">
        <v>45789</v>
      </c>
      <c r="E83" s="118" t="n">
        <v>45800</v>
      </c>
      <c r="F83" s="119">
        <f>IF(AND(D83&lt;&gt;"",E83&lt;&gt;""),E83-D83,"")</f>
        <v/>
      </c>
      <c r="G83" s="141" t="inlineStr">
        <is>
          <t>Planned</t>
        </is>
      </c>
      <c r="H83" s="198" t="inlineStr">
        <is>
          <t>WF-42,WF-43,WF-44</t>
        </is>
      </c>
      <c r="I83" s="199" t="inlineStr">
        <is>
          <t>DEL-S3-05</t>
        </is>
      </c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</row>
    <row r="84" ht="18" customHeight="1">
      <c r="A84" s="137" t="n">
        <v>71</v>
      </c>
      <c r="B84" s="146" t="inlineStr">
        <is>
          <t xml:space="preserve">      CUST_NewHireRamp: partial-year cost = Annual × (Remaining_Mo/12) × Ramp%</t>
        </is>
      </c>
      <c r="C84" s="139" t="inlineStr">
        <is>
          <t>PwC</t>
        </is>
      </c>
      <c r="D84" s="118" t="n">
        <v>45789</v>
      </c>
      <c r="E84" s="118" t="n">
        <v>45800</v>
      </c>
      <c r="F84" s="117">
        <f>IF(AND(D84&lt;&gt;"",E84&lt;&gt;""),E84-D84,"")</f>
        <v/>
      </c>
      <c r="G84" s="141" t="inlineStr">
        <is>
          <t>Planned</t>
        </is>
      </c>
      <c r="H84" s="198" t="inlineStr">
        <is>
          <t>WF-89,WF-31</t>
        </is>
      </c>
      <c r="I84" s="199" t="inlineStr">
        <is>
          <t>DEL-S3-01</t>
        </is>
      </c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  <c r="AE84" s="32" t="n"/>
      <c r="AF84" s="32" t="n"/>
    </row>
    <row r="85" ht="18" customHeight="1">
      <c r="A85" s="142" t="n">
        <v>72</v>
      </c>
      <c r="B85" s="143" t="inlineStr">
        <is>
          <t xml:space="preserve">      CUST_TerminationLogic: zero comp from term date; severance loading rule</t>
        </is>
      </c>
      <c r="C85" s="144" t="inlineStr">
        <is>
          <t>PwC</t>
        </is>
      </c>
      <c r="D85" s="118" t="n">
        <v>45796</v>
      </c>
      <c r="E85" s="118" t="n">
        <v>45807</v>
      </c>
      <c r="F85" s="119">
        <f>IF(AND(D85&lt;&gt;"",E85&lt;&gt;""),E85-D85,"")</f>
        <v/>
      </c>
      <c r="G85" s="141" t="inlineStr">
        <is>
          <t>Planned</t>
        </is>
      </c>
      <c r="H85" s="198" t="inlineStr">
        <is>
          <t>WF-82,WF-54</t>
        </is>
      </c>
      <c r="I85" s="199" t="inlineStr">
        <is>
          <t>DEL-S3-01</t>
        </is>
      </c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  <c r="AE85" s="32" t="n"/>
      <c r="AF85" s="32" t="n"/>
    </row>
    <row r="86" ht="18" customHeight="1">
      <c r="A86" s="137" t="n">
        <v>73</v>
      </c>
      <c r="B86" s="146" t="inlineStr">
        <is>
          <t xml:space="preserve">      Assumption table build: Merit_Pct[Grade,Year], COLA%, Benefit_Rates[], Ramp schedules</t>
        </is>
      </c>
      <c r="C86" s="139" t="inlineStr">
        <is>
          <t>PwC / Finance</t>
        </is>
      </c>
      <c r="D86" s="118" t="n">
        <v>45775</v>
      </c>
      <c r="E86" s="118" t="n">
        <v>45807</v>
      </c>
      <c r="F86" s="117">
        <f>IF(AND(D86&lt;&gt;"",E86&lt;&gt;""),E86-D86,"")</f>
        <v/>
      </c>
      <c r="G86" s="141" t="inlineStr">
        <is>
          <t>Planned</t>
        </is>
      </c>
      <c r="H86" s="198" t="inlineStr">
        <is>
          <t>WF-70,WF-72</t>
        </is>
      </c>
      <c r="I86" s="199" t="inlineStr">
        <is>
          <t>DEL-S3-01</t>
        </is>
      </c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  <c r="AE86" s="32" t="n"/>
      <c r="AF86" s="32" t="n"/>
    </row>
    <row r="87" ht="18" customHeight="1">
      <c r="A87" s="142" t="n">
        <v>74</v>
      </c>
      <c r="B87" s="143" t="inlineStr">
        <is>
          <t xml:space="preserve">      Compensation calc rule unit testing — 50-position validation suite</t>
        </is>
      </c>
      <c r="C87" s="144" t="inlineStr">
        <is>
          <t>PwC</t>
        </is>
      </c>
      <c r="D87" s="118" t="n">
        <v>45803</v>
      </c>
      <c r="E87" s="118" t="n">
        <v>45807</v>
      </c>
      <c r="F87" s="119">
        <f>IF(AND(D87&lt;&gt;"",E87&lt;&gt;""),E87-D87,"")</f>
        <v/>
      </c>
      <c r="G87" s="141" t="inlineStr">
        <is>
          <t>Planned</t>
        </is>
      </c>
      <c r="H87" s="198" t="inlineStr">
        <is>
          <t>WF-68,WF-69,WF-70</t>
        </is>
      </c>
      <c r="I87" s="199" t="inlineStr">
        <is>
          <t>DEL-S3-01</t>
        </is>
      </c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  <c r="AE87" s="32" t="n"/>
      <c r="AF87" s="32" t="n"/>
    </row>
    <row r="88" ht="18" customHeight="1">
      <c r="A88" s="137" t="n">
        <v>75</v>
      </c>
      <c r="B88" s="146" t="inlineStr">
        <is>
          <t xml:space="preserve">      Sprint 3 Playback — live Groovy calc demo; end-to-end comp calc walkthrough</t>
        </is>
      </c>
      <c r="C88" s="139" t="inlineStr">
        <is>
          <t>PMO / Finance / HR</t>
        </is>
      </c>
      <c r="D88" s="118" t="n">
        <v>45807</v>
      </c>
      <c r="E88" s="118" t="n">
        <v>45807</v>
      </c>
      <c r="F88" s="117">
        <f>IF(AND(D88&lt;&gt;"",E88&lt;&gt;""),E88-D88,"")</f>
        <v/>
      </c>
      <c r="G88" s="141" t="inlineStr">
        <is>
          <t>Planned</t>
        </is>
      </c>
      <c r="H88" s="198" t="inlineStr">
        <is>
          <t>WF-19,WF-74,WF-75,WF-76</t>
        </is>
      </c>
      <c r="I88" s="199" t="inlineStr">
        <is>
          <t>DEL-S3-06</t>
        </is>
      </c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  <c r="AE88" s="32" t="n"/>
      <c r="AF88" s="32" t="n"/>
    </row>
    <row r="89" ht="18" customHeight="1">
      <c r="A89" s="142" t="n">
        <v>76</v>
      </c>
      <c r="B89" s="147" t="inlineStr">
        <is>
          <t>SPRINT 4 — Data, Reporting, Security &amp; SIT Readiness  (Jun 2 – Jun 27)</t>
        </is>
      </c>
      <c r="C89" s="144" t="inlineStr">
        <is>
          <t>PwC</t>
        </is>
      </c>
      <c r="D89" s="116" t="n">
        <v>45810</v>
      </c>
      <c r="E89" s="116" t="n">
        <v>45835</v>
      </c>
      <c r="F89" s="119">
        <f>IF(AND(D89&lt;&gt;"",E89&lt;&gt;""),E89-D89,"")</f>
        <v/>
      </c>
      <c r="G89" s="141" t="inlineStr">
        <is>
          <t>Planned</t>
        </is>
      </c>
      <c r="H89" s="198" t="inlineStr">
        <is>
          <t>WF-47,WF-48,WF-50,WF-80,WF-82,WF-89</t>
        </is>
      </c>
      <c r="I89" s="199" t="inlineStr">
        <is>
          <t>DEL-S4-01 to S4-06</t>
        </is>
      </c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  <c r="AE89" s="32" t="n"/>
      <c r="AF89" s="32" t="n"/>
    </row>
    <row r="90" ht="18" customHeight="1">
      <c r="A90" s="137" t="n">
        <v>77</v>
      </c>
      <c r="B90" s="146" t="inlineStr">
        <is>
          <t xml:space="preserve">      CUST_ContractorCost, CUST_OPEXDriverCalc, CUST_HCtoOPEXLink (Sprint 4 rules)</t>
        </is>
      </c>
      <c r="C90" s="139" t="inlineStr">
        <is>
          <t>PwC</t>
        </is>
      </c>
      <c r="D90" s="118" t="n">
        <v>45810</v>
      </c>
      <c r="E90" s="118" t="n">
        <v>45821</v>
      </c>
      <c r="F90" s="117">
        <f>IF(AND(D90&lt;&gt;"",E90&lt;&gt;""),E90-D90,"")</f>
        <v/>
      </c>
      <c r="G90" s="141" t="inlineStr">
        <is>
          <t>Planned</t>
        </is>
      </c>
      <c r="H90" s="198" t="inlineStr">
        <is>
          <t>WF-47,WF-57</t>
        </is>
      </c>
      <c r="I90" s="199" t="inlineStr">
        <is>
          <t>DEL-S4-01</t>
        </is>
      </c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</row>
    <row r="91" ht="18" customHeight="1">
      <c r="A91" s="142" t="n">
        <v>78</v>
      </c>
      <c r="B91" s="143" t="inlineStr">
        <is>
          <t xml:space="preserve">      CUST_ICPSpread &amp; CUST_BORAllocation — below-the-line ICP &amp; pool allocation</t>
        </is>
      </c>
      <c r="C91" s="144" t="inlineStr">
        <is>
          <t>PwC</t>
        </is>
      </c>
      <c r="D91" s="118" t="n">
        <v>45810</v>
      </c>
      <c r="E91" s="118" t="n">
        <v>45821</v>
      </c>
      <c r="F91" s="119">
        <f>IF(AND(D91&lt;&gt;"",E91&lt;&gt;""),E91-D91,"")</f>
        <v/>
      </c>
      <c r="G91" s="141" t="inlineStr">
        <is>
          <t>Planned</t>
        </is>
      </c>
      <c r="H91" s="198" t="inlineStr">
        <is>
          <t>WF-87,WF-04</t>
        </is>
      </c>
      <c r="I91" s="199" t="inlineStr">
        <is>
          <t>DEL-S4-01</t>
        </is>
      </c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  <c r="AE91" s="32" t="n"/>
      <c r="AF91" s="32" t="n"/>
    </row>
    <row r="92" ht="18" customHeight="1">
      <c r="A92" s="137" t="n">
        <v>79</v>
      </c>
      <c r="B92" s="146" t="inlineStr">
        <is>
          <t xml:space="preserve">      CUST_ScenarioVariance: Budget vs Forecast vs Actual ($ var, % var, FTE var)</t>
        </is>
      </c>
      <c r="C92" s="139" t="inlineStr">
        <is>
          <t>PwC</t>
        </is>
      </c>
      <c r="D92" s="118" t="n">
        <v>45817</v>
      </c>
      <c r="E92" s="118" t="n">
        <v>45828</v>
      </c>
      <c r="F92" s="117">
        <f>IF(AND(D92&lt;&gt;"",E92&lt;&gt;""),E92-D92,"")</f>
        <v/>
      </c>
      <c r="G92" s="141" t="inlineStr">
        <is>
          <t>Planned</t>
        </is>
      </c>
      <c r="H92" s="198" t="inlineStr">
        <is>
          <t>WF-96,WF-53,WF-94</t>
        </is>
      </c>
      <c r="I92" s="199" t="inlineStr">
        <is>
          <t>DEL-S4-01</t>
        </is>
      </c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  <c r="AA92" s="32" t="n"/>
      <c r="AB92" s="32" t="n"/>
      <c r="AC92" s="32" t="n"/>
      <c r="AD92" s="32" t="n"/>
      <c r="AE92" s="32" t="n"/>
      <c r="AF92" s="32" t="n"/>
    </row>
    <row r="93" ht="18" customHeight="1">
      <c r="A93" s="142" t="n">
        <v>80</v>
      </c>
      <c r="B93" s="143" t="inlineStr">
        <is>
          <t xml:space="preserve">      All input forms — Position planning, New Hire/Attrition, OPEX G&amp;A by cost centre</t>
        </is>
      </c>
      <c r="C93" s="144" t="inlineStr">
        <is>
          <t>PwC</t>
        </is>
      </c>
      <c r="D93" s="118" t="n">
        <v>45810</v>
      </c>
      <c r="E93" s="118" t="n">
        <v>45828</v>
      </c>
      <c r="F93" s="119">
        <f>IF(AND(D93&lt;&gt;"",E93&lt;&gt;""),E93-D93,"")</f>
        <v/>
      </c>
      <c r="G93" s="141" t="inlineStr">
        <is>
          <t>Planned</t>
        </is>
      </c>
      <c r="H93" s="198" t="inlineStr">
        <is>
          <t>WF-35,WF-36,WF-54,WF-55</t>
        </is>
      </c>
      <c r="I93" s="199" t="inlineStr">
        <is>
          <t>DEL-S4-02</t>
        </is>
      </c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  <c r="AE93" s="32" t="n"/>
      <c r="AF93" s="32" t="n"/>
    </row>
    <row r="94" ht="18" customHeight="1">
      <c r="A94" s="137" t="n">
        <v>81</v>
      </c>
      <c r="B94" s="146" t="inlineStr">
        <is>
          <t xml:space="preserve">      Management dashboards — HC summary, OPEX view, FTE gap alerts, variance tiles</t>
        </is>
      </c>
      <c r="C94" s="139" t="inlineStr">
        <is>
          <t>PwC</t>
        </is>
      </c>
      <c r="D94" s="118" t="n">
        <v>45817</v>
      </c>
      <c r="E94" s="118" t="n">
        <v>45828</v>
      </c>
      <c r="F94" s="117">
        <f>IF(AND(D94&lt;&gt;"",E94&lt;&gt;""),E94-D94,"")</f>
        <v/>
      </c>
      <c r="G94" s="141" t="inlineStr">
        <is>
          <t>Planned</t>
        </is>
      </c>
      <c r="H94" s="198" t="inlineStr">
        <is>
          <t>WF-96,WF-53,WF-87</t>
        </is>
      </c>
      <c r="I94" s="199" t="inlineStr">
        <is>
          <t>DEL-S4-03</t>
        </is>
      </c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  <c r="Z94" s="32" t="n"/>
      <c r="AA94" s="32" t="n"/>
      <c r="AB94" s="32" t="n"/>
      <c r="AC94" s="32" t="n"/>
      <c r="AD94" s="32" t="n"/>
      <c r="AE94" s="32" t="n"/>
      <c r="AF94" s="32" t="n"/>
    </row>
    <row r="95" ht="18" customHeight="1">
      <c r="A95" s="142" t="n">
        <v>82</v>
      </c>
      <c r="B95" s="143" t="inlineStr">
        <is>
          <t xml:space="preserve">      Narrative Reporting — WFP Management Report template (Oracle NR)</t>
        </is>
      </c>
      <c r="C95" s="144" t="inlineStr">
        <is>
          <t>PwC / Finance</t>
        </is>
      </c>
      <c r="D95" s="118" t="n">
        <v>45824</v>
      </c>
      <c r="E95" s="118" t="n">
        <v>45835</v>
      </c>
      <c r="F95" s="119">
        <f>IF(AND(D95&lt;&gt;"",E95&lt;&gt;""),E95-D95,"")</f>
        <v/>
      </c>
      <c r="G95" s="141" t="inlineStr">
        <is>
          <t>Planned</t>
        </is>
      </c>
      <c r="H95" s="198" t="inlineStr">
        <is>
          <t>WF-87,WF-03,WF-96</t>
        </is>
      </c>
      <c r="I95" s="199" t="inlineStr">
        <is>
          <t>DEL-S4-04</t>
        </is>
      </c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  <c r="Z95" s="32" t="n"/>
      <c r="AA95" s="32" t="n"/>
      <c r="AB95" s="32" t="n"/>
      <c r="AC95" s="32" t="n"/>
      <c r="AD95" s="32" t="n"/>
      <c r="AE95" s="32" t="n"/>
      <c r="AF95" s="32" t="n"/>
    </row>
    <row r="96" ht="18" customHeight="1">
      <c r="A96" s="137" t="n">
        <v>83</v>
      </c>
      <c r="B96" s="146" t="inlineStr">
        <is>
          <t xml:space="preserve">      Security role hardening — final role-based access validation (TEST env)</t>
        </is>
      </c>
      <c r="C96" s="139" t="inlineStr">
        <is>
          <t>IT Sec / PwC</t>
        </is>
      </c>
      <c r="D96" s="118" t="n">
        <v>45817</v>
      </c>
      <c r="E96" s="118" t="n">
        <v>45821</v>
      </c>
      <c r="F96" s="117">
        <f>IF(AND(D96&lt;&gt;"",E96&lt;&gt;""),E96-D96,"")</f>
        <v/>
      </c>
      <c r="G96" s="141" t="inlineStr">
        <is>
          <t>Planned</t>
        </is>
      </c>
      <c r="H96" s="198" t="inlineStr">
        <is>
          <t>WF-58,WF-60,WF-61,WF-62,WF-63</t>
        </is>
      </c>
      <c r="I96" s="199" t="inlineStr">
        <is>
          <t>DEL-S4-01</t>
        </is>
      </c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  <c r="Z96" s="32" t="n"/>
      <c r="AA96" s="32" t="n"/>
      <c r="AB96" s="32" t="n"/>
      <c r="AC96" s="32" t="n"/>
      <c r="AD96" s="32" t="n"/>
      <c r="AE96" s="32" t="n"/>
      <c r="AF96" s="32" t="n"/>
    </row>
    <row r="97" ht="18" customHeight="1">
      <c r="A97" s="142" t="n">
        <v>84</v>
      </c>
      <c r="B97" s="143" t="inlineStr">
        <is>
          <t xml:space="preserve">      Data conversion: full TEST environment load — positions, 3yr actuals, FY25 data</t>
        </is>
      </c>
      <c r="C97" s="144" t="inlineStr">
        <is>
          <t>PwC / IT</t>
        </is>
      </c>
      <c r="D97" s="118" t="n">
        <v>45824</v>
      </c>
      <c r="E97" s="118" t="n">
        <v>45835</v>
      </c>
      <c r="F97" s="119">
        <f>IF(AND(D97&lt;&gt;"",E97&lt;&gt;""),E97-D97,"")</f>
        <v/>
      </c>
      <c r="G97" s="141" t="inlineStr">
        <is>
          <t>Planned</t>
        </is>
      </c>
      <c r="H97" s="198" t="inlineStr">
        <is>
          <t>WF-08,WF-09</t>
        </is>
      </c>
      <c r="I97" s="199" t="inlineStr">
        <is>
          <t>DEL-S4-01</t>
        </is>
      </c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  <c r="Z97" s="32" t="n"/>
      <c r="AA97" s="32" t="n"/>
      <c r="AB97" s="32" t="n"/>
      <c r="AC97" s="32" t="n"/>
      <c r="AD97" s="32" t="n"/>
      <c r="AE97" s="32" t="n"/>
      <c r="AF97" s="32" t="n"/>
    </row>
    <row r="98" ht="18" customHeight="1">
      <c r="A98" s="137" t="n">
        <v>85</v>
      </c>
      <c r="B98" s="146" t="inlineStr">
        <is>
          <t xml:space="preserve">      SIT test scripts preparation — 120+ test cases mapped to RTM</t>
        </is>
      </c>
      <c r="C98" s="139" t="inlineStr">
        <is>
          <t>PwC</t>
        </is>
      </c>
      <c r="D98" s="118" t="n">
        <v>45824</v>
      </c>
      <c r="E98" s="118" t="n">
        <v>45835</v>
      </c>
      <c r="F98" s="117">
        <f>IF(AND(D98&lt;&gt;"",E98&lt;&gt;""),E98-D98,"")</f>
        <v/>
      </c>
      <c r="G98" s="141" t="inlineStr">
        <is>
          <t>Planned</t>
        </is>
      </c>
      <c r="H98" s="198" t="inlineStr">
        <is>
          <t>WF-53,WF-03</t>
        </is>
      </c>
      <c r="I98" s="199" t="inlineStr">
        <is>
          <t>DEL-S4-06</t>
        </is>
      </c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  <c r="AA98" s="32" t="n"/>
      <c r="AB98" s="32" t="n"/>
      <c r="AC98" s="32" t="n"/>
      <c r="AD98" s="32" t="n"/>
      <c r="AE98" s="32" t="n"/>
      <c r="AF98" s="32" t="n"/>
    </row>
    <row r="99" ht="18" customHeight="1">
      <c r="A99" s="142" t="n">
        <v>86</v>
      </c>
      <c r="B99" s="143" t="inlineStr">
        <is>
          <t xml:space="preserve">      SIT entry criteria review — environment readiness, defect log baseline</t>
        </is>
      </c>
      <c r="C99" s="144" t="inlineStr">
        <is>
          <t>PwC PMO</t>
        </is>
      </c>
      <c r="D99" s="118" t="n">
        <v>45831</v>
      </c>
      <c r="E99" s="118" t="n">
        <v>45835</v>
      </c>
      <c r="F99" s="119">
        <f>IF(AND(D99&lt;&gt;"",E99&lt;&gt;""),E99-D99,"")</f>
        <v/>
      </c>
      <c r="G99" s="141" t="inlineStr">
        <is>
          <t>Planned</t>
        </is>
      </c>
      <c r="H99" s="198" t="inlineStr">
        <is>
          <t>WF-53</t>
        </is>
      </c>
      <c r="I99" s="199" t="inlineStr">
        <is>
          <t>DEL-S4-06</t>
        </is>
      </c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  <c r="AA99" s="32" t="n"/>
      <c r="AB99" s="32" t="n"/>
      <c r="AC99" s="32" t="n"/>
      <c r="AD99" s="32" t="n"/>
      <c r="AE99" s="32" t="n"/>
      <c r="AF99" s="32" t="n"/>
    </row>
    <row r="100" ht="18" customHeight="1">
      <c r="A100" s="137" t="n">
        <v>87</v>
      </c>
      <c r="B100" s="146" t="inlineStr">
        <is>
          <t xml:space="preserve">      Sprint 4 Playback — full system walkthrough; SIT readiness sign-off</t>
        </is>
      </c>
      <c r="C100" s="139" t="inlineStr">
        <is>
          <t>PMO / Sponsor</t>
        </is>
      </c>
      <c r="D100" s="118" t="n">
        <v>45835</v>
      </c>
      <c r="E100" s="118" t="n">
        <v>45835</v>
      </c>
      <c r="F100" s="117">
        <f>IF(AND(D100&lt;&gt;"",E100&lt;&gt;""),E100-D100,"")</f>
        <v/>
      </c>
      <c r="G100" s="141" t="inlineStr">
        <is>
          <t>Planned</t>
        </is>
      </c>
      <c r="H100" s="198" t="inlineStr">
        <is>
          <t>WF-95,WF-ADV-06,WF-ADV-07</t>
        </is>
      </c>
      <c r="I100" s="199" t="inlineStr">
        <is>
          <t>DEL-S4-05</t>
        </is>
      </c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  <c r="Z100" s="32" t="n"/>
      <c r="AA100" s="32" t="n"/>
      <c r="AB100" s="32" t="n"/>
      <c r="AC100" s="32" t="n"/>
      <c r="AD100" s="32" t="n"/>
      <c r="AE100" s="32" t="n"/>
      <c r="AF100" s="32" t="n"/>
    </row>
    <row r="101" ht="18" customHeight="1">
      <c r="A101" s="40" t="inlineStr"/>
      <c r="B101" s="62" t="inlineStr">
        <is>
          <t>PHASE 4 — SYSTEM INTEGRATION TESTING (SIT)  (Late June – Mid July)</t>
        </is>
      </c>
      <c r="C101" s="42" t="inlineStr">
        <is>
          <t>PwC</t>
        </is>
      </c>
      <c r="D101" s="125" t="n">
        <v>45838</v>
      </c>
      <c r="E101" s="125" t="n">
        <v>45849</v>
      </c>
      <c r="F101" s="121">
        <f>(E101-D101)</f>
        <v/>
      </c>
      <c r="G101" s="64" t="inlineStr">
        <is>
          <t>Planned</t>
        </is>
      </c>
      <c r="H101" s="198" t="inlineStr">
        <is>
          <t>ALL WF reqs</t>
        </is>
      </c>
      <c r="I101" s="199" t="inlineStr">
        <is>
          <t>DEL-SIT-01</t>
        </is>
      </c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</row>
    <row r="102" ht="18" customHeight="1">
      <c r="A102" s="142" t="n">
        <v>88</v>
      </c>
      <c r="B102" s="147" t="inlineStr">
        <is>
          <t>4.1  SIT Preparation &amp; Training</t>
        </is>
      </c>
      <c r="C102" s="144" t="inlineStr">
        <is>
          <t>PwC / Finance</t>
        </is>
      </c>
      <c r="D102" s="116" t="n">
        <v>45838</v>
      </c>
      <c r="E102" s="116" t="n">
        <v>45842</v>
      </c>
      <c r="F102" s="119">
        <f>IF(AND(D102&lt;&gt;"",E102&lt;&gt;""),E102-D102,"")</f>
        <v/>
      </c>
      <c r="G102" s="141" t="inlineStr">
        <is>
          <t>Planned</t>
        </is>
      </c>
      <c r="H102" s="198" t="inlineStr">
        <is>
          <t>WF-20,WF-21,WF-23</t>
        </is>
      </c>
      <c r="I102" s="199" t="inlineStr">
        <is>
          <t>DEL-SIT-01</t>
        </is>
      </c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n"/>
      <c r="AA102" s="32" t="n"/>
      <c r="AB102" s="32" t="n"/>
      <c r="AC102" s="32" t="n"/>
      <c r="AD102" s="32" t="n"/>
      <c r="AE102" s="32" t="n"/>
      <c r="AF102" s="32" t="n"/>
    </row>
    <row r="103" ht="18" customHeight="1">
      <c r="A103" s="137" t="n">
        <v>89</v>
      </c>
      <c r="B103" s="146" t="inlineStr">
        <is>
          <t xml:space="preserve">      SIT tester onboarding &amp; environment access (TEST env)</t>
        </is>
      </c>
      <c r="C103" s="139" t="inlineStr">
        <is>
          <t>IT / PwC</t>
        </is>
      </c>
      <c r="D103" s="118" t="n">
        <v>45838</v>
      </c>
      <c r="E103" s="118" t="n">
        <v>45842</v>
      </c>
      <c r="F103" s="117">
        <f>IF(AND(D103&lt;&gt;"",E103&lt;&gt;""),E103-D103,"")</f>
        <v/>
      </c>
      <c r="G103" s="141" t="inlineStr">
        <is>
          <t>Planned</t>
        </is>
      </c>
      <c r="H103" s="198" t="inlineStr">
        <is>
          <t>WF-19,WF-20,WF-21</t>
        </is>
      </c>
      <c r="I103" s="199" t="inlineStr">
        <is>
          <t>DEL-SIT-01</t>
        </is>
      </c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  <c r="AA103" s="32" t="n"/>
      <c r="AB103" s="32" t="n"/>
      <c r="AC103" s="32" t="n"/>
      <c r="AD103" s="32" t="n"/>
      <c r="AE103" s="32" t="n"/>
      <c r="AF103" s="32" t="n"/>
    </row>
    <row r="104" ht="18" customHeight="1">
      <c r="A104" s="142" t="n">
        <v>90</v>
      </c>
      <c r="B104" s="143" t="inlineStr">
        <is>
          <t xml:space="preserve">      SIT test script walkthrough &amp; tester briefing session</t>
        </is>
      </c>
      <c r="C104" s="144" t="inlineStr">
        <is>
          <t>PwC</t>
        </is>
      </c>
      <c r="D104" s="118" t="n">
        <v>45838</v>
      </c>
      <c r="E104" s="118" t="n">
        <v>45842</v>
      </c>
      <c r="F104" s="119">
        <f>IF(AND(D104&lt;&gt;"",E104&lt;&gt;""),E104-D104,"")</f>
        <v/>
      </c>
      <c r="G104" s="141" t="inlineStr">
        <is>
          <t>Planned</t>
        </is>
      </c>
      <c r="H104" s="198" t="inlineStr">
        <is>
          <t>WF-17,WF-11,WF-14</t>
        </is>
      </c>
      <c r="I104" s="199" t="inlineStr">
        <is>
          <t>DEL-SIT-01</t>
        </is>
      </c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n"/>
      <c r="AA104" s="32" t="n"/>
      <c r="AB104" s="32" t="n"/>
      <c r="AC104" s="32" t="n"/>
      <c r="AD104" s="32" t="n"/>
      <c r="AE104" s="32" t="n"/>
      <c r="AF104" s="32" t="n"/>
    </row>
    <row r="105" ht="14" customHeight="1">
      <c r="A105" s="137" t="n">
        <v>91</v>
      </c>
      <c r="B105" s="146" t="inlineStr">
        <is>
          <t xml:space="preserve">      Defect management tool setup (ADO / JIRA) — severity matrix confirmed</t>
        </is>
      </c>
      <c r="C105" s="139" t="inlineStr">
        <is>
          <t>PwC PMO</t>
        </is>
      </c>
      <c r="D105" s="118" t="n">
        <v>45838</v>
      </c>
      <c r="E105" s="118" t="n">
        <v>45842</v>
      </c>
      <c r="F105" s="117">
        <f>IF(AND(D105&lt;&gt;"",E105&lt;&gt;""),E105-D105,"")</f>
        <v/>
      </c>
      <c r="G105" s="141" t="inlineStr">
        <is>
          <t>Planned</t>
        </is>
      </c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  <c r="AE105" s="32" t="n"/>
      <c r="AF105" s="32" t="n"/>
    </row>
    <row r="106" ht="18" customHeight="1">
      <c r="A106" s="142" t="n">
        <v>92</v>
      </c>
      <c r="B106" s="147" t="inlineStr">
        <is>
          <t>4.2  SIT Execution — End-to-End Test Cycles</t>
        </is>
      </c>
      <c r="C106" s="144" t="inlineStr">
        <is>
          <t>PwC</t>
        </is>
      </c>
      <c r="D106" s="116" t="n">
        <v>45845</v>
      </c>
      <c r="E106" s="116" t="n">
        <v>45856</v>
      </c>
      <c r="F106" s="119">
        <f>IF(AND(D106&lt;&gt;"",E106&lt;&gt;""),E106-D106,"")</f>
        <v/>
      </c>
      <c r="G106" s="141" t="inlineStr">
        <is>
          <t>Planned</t>
        </is>
      </c>
      <c r="H106" s="198" t="inlineStr">
        <is>
          <t>ALL CALC RULES</t>
        </is>
      </c>
      <c r="I106" s="199" t="inlineStr">
        <is>
          <t>DEL-SIT-01</t>
        </is>
      </c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32" t="n"/>
      <c r="AD106" s="32" t="n"/>
      <c r="AE106" s="32" t="n"/>
      <c r="AF106" s="32" t="n"/>
    </row>
    <row r="107" ht="18" customHeight="1">
      <c r="A107" s="137" t="n">
        <v>93</v>
      </c>
      <c r="B107" s="146" t="inlineStr">
        <is>
          <t xml:space="preserve">      SIT-01: Dimension &amp; metadata integrity (all 7 dims, hierarchy rollups)</t>
        </is>
      </c>
      <c r="C107" s="139" t="inlineStr">
        <is>
          <t>PwC</t>
        </is>
      </c>
      <c r="D107" s="118" t="n">
        <v>45845</v>
      </c>
      <c r="E107" s="118" t="n">
        <v>45849</v>
      </c>
      <c r="F107" s="117">
        <f>IF(AND(D107&lt;&gt;"",E107&lt;&gt;""),E107-D107,"")</f>
        <v/>
      </c>
      <c r="G107" s="141" t="inlineStr">
        <is>
          <t>Planned</t>
        </is>
      </c>
      <c r="H107" s="198" t="inlineStr">
        <is>
          <t>WF-20,WF-21,WF-23,WF-32</t>
        </is>
      </c>
      <c r="I107" s="199" t="inlineStr">
        <is>
          <t>DEL-SIT-01</t>
        </is>
      </c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  <c r="AA107" s="32" t="n"/>
      <c r="AB107" s="32" t="n"/>
      <c r="AC107" s="32" t="n"/>
      <c r="AD107" s="32" t="n"/>
      <c r="AE107" s="32" t="n"/>
      <c r="AF107" s="32" t="n"/>
    </row>
    <row r="108" ht="18" customHeight="1">
      <c r="A108" s="142" t="n">
        <v>94</v>
      </c>
      <c r="B108" s="143" t="inlineStr">
        <is>
          <t xml:space="preserve">      SIT-02: All 20 calc rules — end-to-end compensation &amp; WFP validation</t>
        </is>
      </c>
      <c r="C108" s="144" t="inlineStr">
        <is>
          <t>PwC</t>
        </is>
      </c>
      <c r="D108" s="118" t="n">
        <v>45845</v>
      </c>
      <c r="E108" s="118" t="n">
        <v>45849</v>
      </c>
      <c r="F108" s="119">
        <f>IF(AND(D108&lt;&gt;"",E108&lt;&gt;""),E108-D108,"")</f>
        <v/>
      </c>
      <c r="G108" s="141" t="inlineStr">
        <is>
          <t>Planned</t>
        </is>
      </c>
      <c r="H108" s="198" t="inlineStr">
        <is>
          <t>WF-68,WF-69,WF-70,WF-72,WF-74,WF-75,WF-76,WF-77</t>
        </is>
      </c>
      <c r="I108" s="199" t="inlineStr">
        <is>
          <t>DEL-SIT-01</t>
        </is>
      </c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  <c r="AA108" s="32" t="n"/>
      <c r="AB108" s="32" t="n"/>
      <c r="AC108" s="32" t="n"/>
      <c r="AD108" s="32" t="n"/>
      <c r="AE108" s="32" t="n"/>
      <c r="AF108" s="32" t="n"/>
    </row>
    <row r="109" ht="18" customHeight="1">
      <c r="A109" s="137" t="n">
        <v>95</v>
      </c>
      <c r="B109" s="146" t="inlineStr">
        <is>
          <t xml:space="preserve">      SIT-03: OPEX G&amp;A driver validation — HC-linked &amp; non-HC OPEX lines</t>
        </is>
      </c>
      <c r="C109" s="139" t="inlineStr">
        <is>
          <t>PwC / Finance</t>
        </is>
      </c>
      <c r="D109" s="118" t="n">
        <v>45845</v>
      </c>
      <c r="E109" s="118" t="n">
        <v>45849</v>
      </c>
      <c r="F109" s="117">
        <f>IF(AND(D109&lt;&gt;"",E109&lt;&gt;""),E109-D109,"")</f>
        <v/>
      </c>
      <c r="G109" s="141" t="inlineStr">
        <is>
          <t>Planned</t>
        </is>
      </c>
      <c r="H109" s="198" t="inlineStr">
        <is>
          <t>WF-33,WF-47,WF-87</t>
        </is>
      </c>
      <c r="I109" s="199" t="inlineStr">
        <is>
          <t>DEL-SIT-01</t>
        </is>
      </c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  <c r="AA109" s="32" t="n"/>
      <c r="AB109" s="32" t="n"/>
      <c r="AC109" s="32" t="n"/>
      <c r="AD109" s="32" t="n"/>
      <c r="AE109" s="32" t="n"/>
      <c r="AF109" s="32" t="n"/>
    </row>
    <row r="110" ht="18" customHeight="1">
      <c r="A110" s="142" t="n">
        <v>96</v>
      </c>
      <c r="B110" s="143" t="inlineStr">
        <is>
          <t xml:space="preserve">      SIT-04: Integration data load testing — HRIS→EPM, ERP→EPM, Automate</t>
        </is>
      </c>
      <c r="C110" s="144" t="inlineStr">
        <is>
          <t>PwC / IT</t>
        </is>
      </c>
      <c r="D110" s="118" t="n">
        <v>45845</v>
      </c>
      <c r="E110" s="118" t="n">
        <v>45849</v>
      </c>
      <c r="F110" s="119">
        <f>IF(AND(D110&lt;&gt;"",E110&lt;&gt;""),E110-D110,"")</f>
        <v/>
      </c>
      <c r="G110" s="141" t="inlineStr">
        <is>
          <t>Planned</t>
        </is>
      </c>
      <c r="H110" s="198" t="inlineStr">
        <is>
          <t>WF-10,WF-11,WF-16,WF-17</t>
        </is>
      </c>
      <c r="I110" s="199" t="inlineStr">
        <is>
          <t>DEL-SIT-01</t>
        </is>
      </c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n"/>
      <c r="AA110" s="32" t="n"/>
      <c r="AB110" s="32" t="n"/>
      <c r="AC110" s="32" t="n"/>
      <c r="AD110" s="32" t="n"/>
      <c r="AE110" s="32" t="n"/>
      <c r="AF110" s="32" t="n"/>
    </row>
    <row r="111" ht="18" customHeight="1">
      <c r="A111" s="137" t="n">
        <v>97</v>
      </c>
      <c r="B111" s="146" t="inlineStr">
        <is>
          <t xml:space="preserve">      SIT-05: Security &amp; role-based access validation (all 4 roles)</t>
        </is>
      </c>
      <c r="C111" s="139" t="inlineStr">
        <is>
          <t>IT Sec</t>
        </is>
      </c>
      <c r="D111" s="118" t="n">
        <v>45845</v>
      </c>
      <c r="E111" s="118" t="n">
        <v>45849</v>
      </c>
      <c r="F111" s="117">
        <f>IF(AND(D111&lt;&gt;"",E111&lt;&gt;""),E111-D111,"")</f>
        <v/>
      </c>
      <c r="G111" s="141" t="inlineStr">
        <is>
          <t>Planned</t>
        </is>
      </c>
      <c r="H111" s="198" t="inlineStr">
        <is>
          <t>WF-58,WF-60,WF-61,WF-62,WF-63</t>
        </is>
      </c>
      <c r="I111" s="199" t="inlineStr">
        <is>
          <t>DEL-SIT-01</t>
        </is>
      </c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  <c r="AA111" s="32" t="n"/>
      <c r="AB111" s="32" t="n"/>
      <c r="AC111" s="32" t="n"/>
      <c r="AD111" s="32" t="n"/>
      <c r="AE111" s="32" t="n"/>
      <c r="AF111" s="32" t="n"/>
    </row>
    <row r="112" ht="18" customHeight="1">
      <c r="A112" s="142" t="n">
        <v>98</v>
      </c>
      <c r="B112" s="143" t="inlineStr">
        <is>
          <t xml:space="preserve">      SIT-06: Forms, dashboards &amp; Narrative Reporting functional testing</t>
        </is>
      </c>
      <c r="C112" s="144" t="inlineStr">
        <is>
          <t>PwC</t>
        </is>
      </c>
      <c r="D112" s="118" t="n">
        <v>45845</v>
      </c>
      <c r="E112" s="118" t="n">
        <v>45849</v>
      </c>
      <c r="F112" s="119">
        <f>IF(AND(D112&lt;&gt;"",E112&lt;&gt;""),E112-D112,"")</f>
        <v/>
      </c>
      <c r="G112" s="141" t="inlineStr">
        <is>
          <t>Planned</t>
        </is>
      </c>
      <c r="H112" s="198" t="inlineStr">
        <is>
          <t>WF-35,WF-36,WF-87,WF-96</t>
        </is>
      </c>
      <c r="I112" s="199" t="inlineStr">
        <is>
          <t>DEL-SIT-01</t>
        </is>
      </c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  <c r="Z112" s="32" t="n"/>
      <c r="AA112" s="32" t="n"/>
      <c r="AB112" s="32" t="n"/>
      <c r="AC112" s="32" t="n"/>
      <c r="AD112" s="32" t="n"/>
      <c r="AE112" s="32" t="n"/>
      <c r="AF112" s="32" t="n"/>
    </row>
    <row r="113" ht="18" customHeight="1">
      <c r="A113" s="137" t="n">
        <v>99</v>
      </c>
      <c r="B113" s="146" t="inlineStr">
        <is>
          <t xml:space="preserve">      SIT-07: Performance &amp; concurrent-user load testing</t>
        </is>
      </c>
      <c r="C113" s="139" t="inlineStr">
        <is>
          <t>PwC / IT</t>
        </is>
      </c>
      <c r="D113" s="118" t="n">
        <v>45845</v>
      </c>
      <c r="E113" s="118" t="n">
        <v>45849</v>
      </c>
      <c r="F113" s="117">
        <f>IF(AND(D113&lt;&gt;"",E113&lt;&gt;""),E113-D113,"")</f>
        <v/>
      </c>
      <c r="G113" s="141" t="inlineStr">
        <is>
          <t>Planned</t>
        </is>
      </c>
      <c r="H113" s="198" t="inlineStr">
        <is>
          <t>WF-23</t>
        </is>
      </c>
      <c r="I113" s="199" t="inlineStr">
        <is>
          <t>DEL-SIT-01</t>
        </is>
      </c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  <c r="Z113" s="32" t="n"/>
      <c r="AA113" s="32" t="n"/>
      <c r="AB113" s="32" t="n"/>
      <c r="AC113" s="32" t="n"/>
      <c r="AD113" s="32" t="n"/>
      <c r="AE113" s="32" t="n"/>
      <c r="AF113" s="32" t="n"/>
    </row>
    <row r="114" ht="14" customHeight="1">
      <c r="A114" s="142" t="n">
        <v>100</v>
      </c>
      <c r="B114" s="143" t="inlineStr">
        <is>
          <t xml:space="preserve">      SIT defect log — P1/P2 triage, assignment &amp; resolution tracking</t>
        </is>
      </c>
      <c r="C114" s="144" t="inlineStr">
        <is>
          <t>PwC PMO</t>
        </is>
      </c>
      <c r="D114" s="118" t="n">
        <v>45845</v>
      </c>
      <c r="E114" s="118" t="n">
        <v>45856</v>
      </c>
      <c r="F114" s="119">
        <f>IF(AND(D114&lt;&gt;"",E114&lt;&gt;""),E114-D114,"")</f>
        <v/>
      </c>
      <c r="G114" s="141" t="inlineStr">
        <is>
          <t>Planned</t>
        </is>
      </c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n"/>
      <c r="AA114" s="32" t="n"/>
      <c r="AB114" s="32" t="n"/>
      <c r="AC114" s="32" t="n"/>
      <c r="AD114" s="32" t="n"/>
      <c r="AE114" s="32" t="n"/>
      <c r="AF114" s="32" t="n"/>
    </row>
    <row r="115" ht="14" customHeight="1">
      <c r="A115" s="137" t="n">
        <v>101</v>
      </c>
      <c r="B115" s="146" t="inlineStr">
        <is>
          <t xml:space="preserve">      SIT regression testing — re-test after P1/P2 defect fixes</t>
        </is>
      </c>
      <c r="C115" s="139" t="inlineStr">
        <is>
          <t>PwC</t>
        </is>
      </c>
      <c r="D115" s="118" t="n">
        <v>45852</v>
      </c>
      <c r="E115" s="118" t="n">
        <v>45856</v>
      </c>
      <c r="F115" s="117">
        <f>IF(AND(D115&lt;&gt;"",E115&lt;&gt;""),E115-D115,"")</f>
        <v/>
      </c>
      <c r="G115" s="141" t="inlineStr">
        <is>
          <t>Planned</t>
        </is>
      </c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  <c r="Z115" s="32" t="n"/>
      <c r="AA115" s="32" t="n"/>
      <c r="AB115" s="32" t="n"/>
      <c r="AC115" s="32" t="n"/>
      <c r="AD115" s="32" t="n"/>
      <c r="AE115" s="32" t="n"/>
      <c r="AF115" s="32" t="n"/>
    </row>
    <row r="116" ht="14" customHeight="1">
      <c r="A116" s="142" t="n">
        <v>102</v>
      </c>
      <c r="B116" s="143" t="inlineStr">
        <is>
          <t xml:space="preserve">      Data conversion: UAT environment full data load &amp; reconciliation</t>
        </is>
      </c>
      <c r="C116" s="144" t="inlineStr">
        <is>
          <t>PwC / IT</t>
        </is>
      </c>
      <c r="D116" s="118" t="n">
        <v>45852</v>
      </c>
      <c r="E116" s="118" t="n">
        <v>45856</v>
      </c>
      <c r="F116" s="119">
        <f>IF(AND(D116&lt;&gt;"",E116&lt;&gt;""),E116-D116,"")</f>
        <v/>
      </c>
      <c r="G116" s="141" t="inlineStr">
        <is>
          <t>Planned</t>
        </is>
      </c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n"/>
      <c r="AA116" s="32" t="n"/>
      <c r="AB116" s="32" t="n"/>
      <c r="AC116" s="32" t="n"/>
      <c r="AD116" s="32" t="n"/>
      <c r="AE116" s="32" t="n"/>
      <c r="AF116" s="32" t="n"/>
    </row>
    <row r="117" ht="16" customHeight="1">
      <c r="A117" s="47" t="inlineStr">
        <is>
          <t>▲</t>
        </is>
      </c>
      <c r="B117" s="48" t="inlineStr">
        <is>
          <t>▲ SIT EXIT — 0 P1 defects; all 120 test cases executed; SIT sign-off</t>
        </is>
      </c>
      <c r="C117" s="49" t="inlineStr">
        <is>
          <t>PwC PMO / Sponsor</t>
        </is>
      </c>
      <c r="D117" s="122" t="n">
        <v>45856</v>
      </c>
      <c r="E117" s="122" t="n">
        <v>45856</v>
      </c>
      <c r="F117" s="51" t="n"/>
      <c r="G117" s="52" t="inlineStr">
        <is>
          <t>Planned</t>
        </is>
      </c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53" t="n"/>
      <c r="AF117" s="53" t="n"/>
    </row>
    <row r="118" ht="17" customHeight="1">
      <c r="A118" s="40" t="inlineStr"/>
      <c r="B118" s="65" t="inlineStr">
        <is>
          <t>PHASE 5 — USER ACCEPTANCE TESTING (UAT)  (July)</t>
        </is>
      </c>
      <c r="C118" s="42" t="inlineStr">
        <is>
          <t>Finance / HR / FP&amp;A</t>
        </is>
      </c>
      <c r="D118" s="126" t="n">
        <v>45859</v>
      </c>
      <c r="E118" s="126" t="n">
        <v>45870</v>
      </c>
      <c r="F118" s="121">
        <f>(E118-D118)</f>
        <v/>
      </c>
      <c r="G118" s="67" t="inlineStr">
        <is>
          <t>Planned</t>
        </is>
      </c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</row>
    <row r="119" ht="18" customHeight="1">
      <c r="A119" s="137" t="n">
        <v>103</v>
      </c>
      <c r="B119" s="138" t="inlineStr">
        <is>
          <t>5.1  UAT Preparation</t>
        </is>
      </c>
      <c r="C119" s="139" t="inlineStr">
        <is>
          <t>PwC / Finance</t>
        </is>
      </c>
      <c r="D119" s="116" t="n">
        <v>45859</v>
      </c>
      <c r="E119" s="116" t="n">
        <v>45863</v>
      </c>
      <c r="F119" s="117">
        <f>IF(AND(D119&lt;&gt;"",E119&lt;&gt;""),E119-D119,"")</f>
        <v/>
      </c>
      <c r="G119" s="141" t="inlineStr">
        <is>
          <t>Planned</t>
        </is>
      </c>
      <c r="H119" s="198" t="inlineStr">
        <is>
          <t>WF-19,WF-28,WF-39</t>
        </is>
      </c>
      <c r="I119" s="199" t="inlineStr">
        <is>
          <t>DEL-UAT-01</t>
        </is>
      </c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  <c r="Z119" s="32" t="n"/>
      <c r="AA119" s="32" t="n"/>
      <c r="AB119" s="32" t="n"/>
      <c r="AC119" s="32" t="n"/>
      <c r="AD119" s="32" t="n"/>
      <c r="AE119" s="32" t="n"/>
      <c r="AF119" s="32" t="n"/>
    </row>
    <row r="120" ht="18" customHeight="1">
      <c r="A120" s="142" t="n">
        <v>104</v>
      </c>
      <c r="B120" s="143" t="inlineStr">
        <is>
          <t xml:space="preserve">      UAT environment final validation — data quality &amp; access check</t>
        </is>
      </c>
      <c r="C120" s="144" t="inlineStr">
        <is>
          <t>IT / PwC</t>
        </is>
      </c>
      <c r="D120" s="118" t="n">
        <v>45859</v>
      </c>
      <c r="E120" s="118" t="n">
        <v>45863</v>
      </c>
      <c r="F120" s="119">
        <f>IF(AND(D120&lt;&gt;"",E120&lt;&gt;""),E120-D120,"")</f>
        <v/>
      </c>
      <c r="G120" s="141" t="inlineStr">
        <is>
          <t>Planned</t>
        </is>
      </c>
      <c r="H120" s="198" t="inlineStr">
        <is>
          <t>WF-60,WF-63</t>
        </is>
      </c>
      <c r="I120" s="199" t="inlineStr">
        <is>
          <t>DEL-UAT-01</t>
        </is>
      </c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  <c r="AA120" s="32" t="n"/>
      <c r="AB120" s="32" t="n"/>
      <c r="AC120" s="32" t="n"/>
      <c r="AD120" s="32" t="n"/>
      <c r="AE120" s="32" t="n"/>
      <c r="AF120" s="32" t="n"/>
    </row>
    <row r="121" ht="18" customHeight="1">
      <c r="A121" s="137" t="n">
        <v>105</v>
      </c>
      <c r="B121" s="146" t="inlineStr">
        <is>
          <t xml:space="preserve">      UAT business scenario design — 60+ scenarios mapped to real planning cycles</t>
        </is>
      </c>
      <c r="C121" s="139" t="inlineStr">
        <is>
          <t>PwC / Finance</t>
        </is>
      </c>
      <c r="D121" s="118" t="n">
        <v>45859</v>
      </c>
      <c r="E121" s="118" t="n">
        <v>45863</v>
      </c>
      <c r="F121" s="117">
        <f>IF(AND(D121&lt;&gt;"",E121&lt;&gt;""),E121-D121,"")</f>
        <v/>
      </c>
      <c r="G121" s="141" t="inlineStr">
        <is>
          <t>Planned</t>
        </is>
      </c>
      <c r="H121" s="198" t="inlineStr">
        <is>
          <t>ALL WF reqs</t>
        </is>
      </c>
      <c r="I121" s="199" t="inlineStr">
        <is>
          <t>DEL-UAT-01</t>
        </is>
      </c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  <c r="Z121" s="32" t="n"/>
      <c r="AA121" s="32" t="n"/>
      <c r="AB121" s="32" t="n"/>
      <c r="AC121" s="32" t="n"/>
      <c r="AD121" s="32" t="n"/>
      <c r="AE121" s="32" t="n"/>
      <c r="AF121" s="32" t="n"/>
    </row>
    <row r="122" ht="18" customHeight="1">
      <c r="A122" s="142" t="n">
        <v>106</v>
      </c>
      <c r="B122" s="143" t="inlineStr">
        <is>
          <t xml:space="preserve">      UAT tester training — business user orientation (Dept. Finance, HR BPs, FP&amp;A)</t>
        </is>
      </c>
      <c r="C122" s="144" t="inlineStr">
        <is>
          <t>PwC OCM</t>
        </is>
      </c>
      <c r="D122" s="118" t="n">
        <v>45859</v>
      </c>
      <c r="E122" s="118" t="n">
        <v>45863</v>
      </c>
      <c r="F122" s="119">
        <f>IF(AND(D122&lt;&gt;"",E122&lt;&gt;""),E122-D122,"")</f>
        <v/>
      </c>
      <c r="G122" s="141" t="inlineStr">
        <is>
          <t>Planned</t>
        </is>
      </c>
      <c r="H122" s="198" t="inlineStr">
        <is>
          <t>WF-35,WF-39</t>
        </is>
      </c>
      <c r="I122" s="199" t="inlineStr">
        <is>
          <t>DEL-UAT-01</t>
        </is>
      </c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  <c r="AA122" s="32" t="n"/>
      <c r="AB122" s="32" t="n"/>
      <c r="AC122" s="32" t="n"/>
      <c r="AD122" s="32" t="n"/>
      <c r="AE122" s="32" t="n"/>
      <c r="AF122" s="32" t="n"/>
    </row>
    <row r="123" ht="18" customHeight="1">
      <c r="A123" s="137" t="n">
        <v>107</v>
      </c>
      <c r="B123" s="138" t="inlineStr">
        <is>
          <t>5.2  UAT Execution — Business-Led Validation</t>
        </is>
      </c>
      <c r="C123" s="139" t="inlineStr">
        <is>
          <t>Finance / HR / FP&amp;A</t>
        </is>
      </c>
      <c r="D123" s="116" t="n">
        <v>45866</v>
      </c>
      <c r="E123" s="116" t="n">
        <v>45870</v>
      </c>
      <c r="F123" s="117">
        <f>IF(AND(D123&lt;&gt;"",E123&lt;&gt;""),E123-D123,"")</f>
        <v/>
      </c>
      <c r="G123" s="141" t="inlineStr">
        <is>
          <t>Planned</t>
        </is>
      </c>
      <c r="H123" s="198" t="inlineStr">
        <is>
          <t>WF-19,WF-28,WF-41</t>
        </is>
      </c>
      <c r="I123" s="199" t="inlineStr">
        <is>
          <t>DEL-UAT-01</t>
        </is>
      </c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n"/>
      <c r="AA123" s="32" t="n"/>
      <c r="AB123" s="32" t="n"/>
      <c r="AC123" s="32" t="n"/>
      <c r="AD123" s="32" t="n"/>
      <c r="AE123" s="32" t="n"/>
      <c r="AF123" s="32" t="n"/>
    </row>
    <row r="124" ht="18" customHeight="1">
      <c r="A124" s="142" t="n">
        <v>108</v>
      </c>
      <c r="B124" s="143" t="inlineStr">
        <is>
          <t xml:space="preserve">      UAT Cycle 1 — Position planning, submission &amp; approval workflow</t>
        </is>
      </c>
      <c r="C124" s="144" t="inlineStr">
        <is>
          <t>Dept. Finance Leads</t>
        </is>
      </c>
      <c r="D124" s="118" t="n">
        <v>45866</v>
      </c>
      <c r="E124" s="118" t="n">
        <v>45870</v>
      </c>
      <c r="F124" s="119">
        <f>IF(AND(D124&lt;&gt;"",E124&lt;&gt;""),E124-D124,"")</f>
        <v/>
      </c>
      <c r="G124" s="141" t="inlineStr">
        <is>
          <t>Planned</t>
        </is>
      </c>
      <c r="H124" s="198" t="inlineStr">
        <is>
          <t>WF-19,WF-28,WF-31,WF-39</t>
        </is>
      </c>
      <c r="I124" s="199" t="inlineStr">
        <is>
          <t>DEL-UAT-01</t>
        </is>
      </c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n"/>
      <c r="AA124" s="32" t="n"/>
      <c r="AB124" s="32" t="n"/>
      <c r="AC124" s="32" t="n"/>
      <c r="AD124" s="32" t="n"/>
      <c r="AE124" s="32" t="n"/>
      <c r="AF124" s="32" t="n"/>
    </row>
    <row r="125" ht="18" customHeight="1">
      <c r="A125" s="137" t="n">
        <v>109</v>
      </c>
      <c r="B125" s="146" t="inlineStr">
        <is>
          <t xml:space="preserve">      UAT Cycle 2 — New hire/attrition planning; comp calc validation</t>
        </is>
      </c>
      <c r="C125" s="139" t="inlineStr">
        <is>
          <t>HR BPs</t>
        </is>
      </c>
      <c r="D125" s="118" t="n">
        <v>45866</v>
      </c>
      <c r="E125" s="118" t="n">
        <v>45870</v>
      </c>
      <c r="F125" s="117">
        <f>IF(AND(D125&lt;&gt;"",E125&lt;&gt;""),E125-D125,"")</f>
        <v/>
      </c>
      <c r="G125" s="141" t="inlineStr">
        <is>
          <t>Planned</t>
        </is>
      </c>
      <c r="H125" s="198" t="inlineStr">
        <is>
          <t>WF-31,WF-82,WF-68,WF-69</t>
        </is>
      </c>
      <c r="I125" s="199" t="inlineStr">
        <is>
          <t>DEL-UAT-01</t>
        </is>
      </c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  <c r="Z125" s="32" t="n"/>
      <c r="AA125" s="32" t="n"/>
      <c r="AB125" s="32" t="n"/>
      <c r="AC125" s="32" t="n"/>
      <c r="AD125" s="32" t="n"/>
      <c r="AE125" s="32" t="n"/>
      <c r="AF125" s="32" t="n"/>
    </row>
    <row r="126" ht="18" customHeight="1">
      <c r="A126" s="142" t="n">
        <v>110</v>
      </c>
      <c r="B126" s="143" t="inlineStr">
        <is>
          <t xml:space="preserve">      UAT Cycle 3 — OPEX G&amp;A by cost centre; variance vs Budget</t>
        </is>
      </c>
      <c r="C126" s="144" t="inlineStr">
        <is>
          <t>FP&amp;A</t>
        </is>
      </c>
      <c r="D126" s="118" t="n">
        <v>45866</v>
      </c>
      <c r="E126" s="118" t="n">
        <v>45870</v>
      </c>
      <c r="F126" s="119">
        <f>IF(AND(D126&lt;&gt;"",E126&lt;&gt;""),E126-D126,"")</f>
        <v/>
      </c>
      <c r="G126" s="141" t="inlineStr">
        <is>
          <t>Planned</t>
        </is>
      </c>
      <c r="H126" s="198" t="inlineStr">
        <is>
          <t>WF-33,WF-47,WF-87</t>
        </is>
      </c>
      <c r="I126" s="199" t="inlineStr">
        <is>
          <t>DEL-UAT-01</t>
        </is>
      </c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  <c r="AA126" s="32" t="n"/>
      <c r="AB126" s="32" t="n"/>
      <c r="AC126" s="32" t="n"/>
      <c r="AD126" s="32" t="n"/>
      <c r="AE126" s="32" t="n"/>
      <c r="AF126" s="32" t="n"/>
    </row>
    <row r="127" ht="18" customHeight="1">
      <c r="A127" s="137" t="n">
        <v>111</v>
      </c>
      <c r="B127" s="146" t="inlineStr">
        <is>
          <t xml:space="preserve">      UAT Cycle 4 — Management dashboards, infolets, Narrative Reporting</t>
        </is>
      </c>
      <c r="C127" s="139" t="inlineStr">
        <is>
          <t>CFO Office / FP&amp;A</t>
        </is>
      </c>
      <c r="D127" s="118" t="n">
        <v>45866</v>
      </c>
      <c r="E127" s="118" t="n">
        <v>45870</v>
      </c>
      <c r="F127" s="117">
        <f>IF(AND(D127&lt;&gt;"",E127&lt;&gt;""),E127-D127,"")</f>
        <v/>
      </c>
      <c r="G127" s="141" t="inlineStr">
        <is>
          <t>Planned</t>
        </is>
      </c>
      <c r="H127" s="198" t="inlineStr">
        <is>
          <t>WF-87,WF-03,WF-96</t>
        </is>
      </c>
      <c r="I127" s="199" t="inlineStr">
        <is>
          <t>DEL-UAT-01</t>
        </is>
      </c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  <c r="Z127" s="32" t="n"/>
      <c r="AA127" s="32" t="n"/>
      <c r="AB127" s="32" t="n"/>
      <c r="AC127" s="32" t="n"/>
      <c r="AD127" s="32" t="n"/>
      <c r="AE127" s="32" t="n"/>
      <c r="AF127" s="32" t="n"/>
    </row>
    <row r="128" ht="18" customHeight="1">
      <c r="A128" s="142" t="n">
        <v>112</v>
      </c>
      <c r="B128" s="143" t="inlineStr">
        <is>
          <t xml:space="preserve">      UAT defect log — P1/P2 resolution, regression, sign-off workflow</t>
        </is>
      </c>
      <c r="C128" s="144" t="inlineStr">
        <is>
          <t>PwC PMO</t>
        </is>
      </c>
      <c r="D128" s="118" t="n">
        <v>45866</v>
      </c>
      <c r="E128" s="118" t="n">
        <v>45870</v>
      </c>
      <c r="F128" s="119">
        <f>IF(AND(D128&lt;&gt;"",E128&lt;&gt;""),E128-D128,"")</f>
        <v/>
      </c>
      <c r="G128" s="141" t="inlineStr">
        <is>
          <t>Planned</t>
        </is>
      </c>
      <c r="H128" s="198" t="inlineStr">
        <is>
          <t>WF-53</t>
        </is>
      </c>
      <c r="I128" s="199" t="inlineStr">
        <is>
          <t>DEL-UAT-01</t>
        </is>
      </c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  <c r="AA128" s="32" t="n"/>
      <c r="AB128" s="32" t="n"/>
      <c r="AC128" s="32" t="n"/>
      <c r="AD128" s="32" t="n"/>
      <c r="AE128" s="32" t="n"/>
      <c r="AF128" s="32" t="n"/>
    </row>
    <row r="129" ht="18" customHeight="1">
      <c r="A129" s="137" t="n">
        <v>113</v>
      </c>
      <c r="B129" s="146" t="inlineStr">
        <is>
          <t xml:space="preserve">      Go-Live readiness confirmation — business sign-off checklist</t>
        </is>
      </c>
      <c r="C129" s="139" t="inlineStr">
        <is>
          <t>CFO / Sponsor</t>
        </is>
      </c>
      <c r="D129" s="118" t="n">
        <v>45870</v>
      </c>
      <c r="E129" s="118" t="n">
        <v>45870</v>
      </c>
      <c r="F129" s="117">
        <f>IF(AND(D129&lt;&gt;"",E129&lt;&gt;""),E129-D129,"")</f>
        <v/>
      </c>
      <c r="G129" s="141" t="inlineStr">
        <is>
          <t>Planned</t>
        </is>
      </c>
      <c r="H129" s="198" t="inlineStr">
        <is>
          <t>ALL WF exit criteria</t>
        </is>
      </c>
      <c r="I129" s="199" t="inlineStr">
        <is>
          <t>DEL-UAT-01</t>
        </is>
      </c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  <c r="Z129" s="32" t="n"/>
      <c r="AA129" s="32" t="n"/>
      <c r="AB129" s="32" t="n"/>
      <c r="AC129" s="32" t="n"/>
      <c r="AD129" s="32" t="n"/>
      <c r="AE129" s="32" t="n"/>
      <c r="AF129" s="32" t="n"/>
    </row>
    <row r="130" ht="16" customHeight="1">
      <c r="A130" s="47" t="inlineStr">
        <is>
          <t>▲</t>
        </is>
      </c>
      <c r="B130" s="48" t="inlineStr">
        <is>
          <t>▲ UAT SIGN-OFF — CFO &amp; Sponsor signature; 0 P1 open; Go-Live authorized</t>
        </is>
      </c>
      <c r="C130" s="49" t="inlineStr">
        <is>
          <t>CFO / Sponsor</t>
        </is>
      </c>
      <c r="D130" s="122" t="n">
        <v>45870</v>
      </c>
      <c r="E130" s="122" t="n">
        <v>45870</v>
      </c>
      <c r="F130" s="51" t="n"/>
      <c r="G130" s="52" t="inlineStr">
        <is>
          <t>Planned</t>
        </is>
      </c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53" t="n"/>
      <c r="AF130" s="53" t="n"/>
    </row>
    <row r="131" ht="17" customHeight="1">
      <c r="A131" s="40" t="inlineStr"/>
      <c r="B131" s="68" t="inlineStr">
        <is>
          <t>PHASE 6 — PRODUCTION RELEASE / GO-LIVE  (August)</t>
        </is>
      </c>
      <c r="C131" s="42" t="inlineStr">
        <is>
          <t>PwC / IT / Sponsor</t>
        </is>
      </c>
      <c r="D131" s="127" t="n">
        <v>45873</v>
      </c>
      <c r="E131" s="127" t="n">
        <v>45889</v>
      </c>
      <c r="F131" s="121">
        <f>(E131-D131)</f>
        <v/>
      </c>
      <c r="G131" s="70" t="inlineStr">
        <is>
          <t>Planned</t>
        </is>
      </c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</row>
    <row r="132" ht="14" customHeight="1">
      <c r="A132" s="142" t="n">
        <v>114</v>
      </c>
      <c r="B132" s="147" t="inlineStr">
        <is>
          <t>6.1  Cutover Planning &amp; Execution</t>
        </is>
      </c>
      <c r="C132" s="144" t="inlineStr">
        <is>
          <t>PwC PMO / IT</t>
        </is>
      </c>
      <c r="D132" s="116" t="n">
        <v>45873</v>
      </c>
      <c r="E132" s="116" t="n">
        <v>45884</v>
      </c>
      <c r="F132" s="119">
        <f>IF(AND(D132&lt;&gt;"",E132&lt;&gt;""),E132-D132,"")</f>
        <v/>
      </c>
      <c r="G132" s="141" t="inlineStr">
        <is>
          <t>Planned</t>
        </is>
      </c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  <c r="Z132" s="32" t="n"/>
      <c r="AA132" s="32" t="n"/>
      <c r="AB132" s="32" t="n"/>
      <c r="AC132" s="32" t="n"/>
      <c r="AD132" s="32" t="n"/>
      <c r="AE132" s="32" t="n"/>
      <c r="AF132" s="32" t="n"/>
    </row>
    <row r="133" ht="18" customHeight="1">
      <c r="A133" s="137" t="n">
        <v>115</v>
      </c>
      <c r="B133" s="146" t="inlineStr">
        <is>
          <t xml:space="preserve">      Cutover plan — detailed run-book with hour-by-hour task assignments</t>
        </is>
      </c>
      <c r="C133" s="139" t="inlineStr">
        <is>
          <t>PwC PMO</t>
        </is>
      </c>
      <c r="D133" s="118" t="n">
        <v>45873</v>
      </c>
      <c r="E133" s="118" t="n">
        <v>45877</v>
      </c>
      <c r="F133" s="117">
        <f>IF(AND(D133&lt;&gt;"",E133&lt;&gt;""),E133-D133,"")</f>
        <v/>
      </c>
      <c r="G133" s="141" t="inlineStr">
        <is>
          <t>Planned</t>
        </is>
      </c>
      <c r="H133" s="198" t="inlineStr">
        <is>
          <t>WF-88</t>
        </is>
      </c>
      <c r="I133" s="199" t="inlineStr">
        <is>
          <t>DEL-GO-01</t>
        </is>
      </c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  <c r="AA133" s="32" t="n"/>
      <c r="AB133" s="32" t="n"/>
      <c r="AC133" s="32" t="n"/>
      <c r="AD133" s="32" t="n"/>
      <c r="AE133" s="32" t="n"/>
      <c r="AF133" s="32" t="n"/>
    </row>
    <row r="134" ht="18" customHeight="1">
      <c r="A134" s="142" t="n">
        <v>116</v>
      </c>
      <c r="B134" s="143" t="inlineStr">
        <is>
          <t xml:space="preserve">      PROD environment final configuration &amp; security hardening</t>
        </is>
      </c>
      <c r="C134" s="144" t="inlineStr">
        <is>
          <t>IT / PwC</t>
        </is>
      </c>
      <c r="D134" s="118" t="n">
        <v>45873</v>
      </c>
      <c r="E134" s="118" t="n">
        <v>45877</v>
      </c>
      <c r="F134" s="119">
        <f>IF(AND(D134&lt;&gt;"",E134&lt;&gt;""),E134-D134,"")</f>
        <v/>
      </c>
      <c r="G134" s="141" t="inlineStr">
        <is>
          <t>Planned</t>
        </is>
      </c>
      <c r="H134" s="198" t="inlineStr">
        <is>
          <t>WF-58,WF-63</t>
        </is>
      </c>
      <c r="I134" s="199" t="inlineStr">
        <is>
          <t>DEL-GO-01</t>
        </is>
      </c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  <c r="Z134" s="32" t="n"/>
      <c r="AA134" s="32" t="n"/>
      <c r="AB134" s="32" t="n"/>
      <c r="AC134" s="32" t="n"/>
      <c r="AD134" s="32" t="n"/>
      <c r="AE134" s="32" t="n"/>
      <c r="AF134" s="32" t="n"/>
    </row>
    <row r="135" ht="18" customHeight="1">
      <c r="A135" s="137" t="n">
        <v>117</v>
      </c>
      <c r="B135" s="146" t="inlineStr">
        <is>
          <t xml:space="preserve">      Data conversion: PROD load — 3yr actuals, FY25 Budget/Forecast, positions</t>
        </is>
      </c>
      <c r="C135" s="139" t="inlineStr">
        <is>
          <t>IT / PwC</t>
        </is>
      </c>
      <c r="D135" s="118" t="n">
        <v>45873</v>
      </c>
      <c r="E135" s="118" t="n">
        <v>45884</v>
      </c>
      <c r="F135" s="117">
        <f>IF(AND(D135&lt;&gt;"",E135&lt;&gt;""),E135-D135,"")</f>
        <v/>
      </c>
      <c r="G135" s="141" t="inlineStr">
        <is>
          <t>Planned</t>
        </is>
      </c>
      <c r="H135" s="198" t="inlineStr">
        <is>
          <t>WF-08,WF-09,WF-88</t>
        </is>
      </c>
      <c r="I135" s="199" t="inlineStr">
        <is>
          <t>DEL-GO-01</t>
        </is>
      </c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  <c r="Z135" s="32" t="n"/>
      <c r="AA135" s="32" t="n"/>
      <c r="AB135" s="32" t="n"/>
      <c r="AC135" s="32" t="n"/>
      <c r="AD135" s="32" t="n"/>
      <c r="AE135" s="32" t="n"/>
      <c r="AF135" s="32" t="n"/>
    </row>
    <row r="136" ht="18" customHeight="1">
      <c r="A136" s="142" t="n">
        <v>118</v>
      </c>
      <c r="B136" s="143" t="inlineStr">
        <is>
          <t xml:space="preserve">      PROD data reconciliation — Finance sign-off vs source system</t>
        </is>
      </c>
      <c r="C136" s="144" t="inlineStr">
        <is>
          <t>Finance / IT</t>
        </is>
      </c>
      <c r="D136" s="118" t="n">
        <v>45880</v>
      </c>
      <c r="E136" s="118" t="n">
        <v>45884</v>
      </c>
      <c r="F136" s="119">
        <f>IF(AND(D136&lt;&gt;"",E136&lt;&gt;""),E136-D136,"")</f>
        <v/>
      </c>
      <c r="G136" s="141" t="inlineStr">
        <is>
          <t>Planned</t>
        </is>
      </c>
      <c r="H136" s="198" t="inlineStr">
        <is>
          <t>WF-53,WF-14</t>
        </is>
      </c>
      <c r="I136" s="199" t="inlineStr">
        <is>
          <t>DEL-GO-01</t>
        </is>
      </c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  <c r="Z136" s="32" t="n"/>
      <c r="AA136" s="32" t="n"/>
      <c r="AB136" s="32" t="n"/>
      <c r="AC136" s="32" t="n"/>
      <c r="AD136" s="32" t="n"/>
      <c r="AE136" s="32" t="n"/>
      <c r="AF136" s="32" t="n"/>
    </row>
    <row r="137" ht="18" customHeight="1">
      <c r="A137" s="137" t="n">
        <v>119</v>
      </c>
      <c r="B137" s="146" t="inlineStr">
        <is>
          <t xml:space="preserve">      End-user training delivery — Dept. Planners, HR BPs, FP&amp;A, CFO office</t>
        </is>
      </c>
      <c r="C137" s="139" t="inlineStr">
        <is>
          <t>PwC OCM</t>
        </is>
      </c>
      <c r="D137" s="118" t="n">
        <v>45873</v>
      </c>
      <c r="E137" s="118" t="n">
        <v>45884</v>
      </c>
      <c r="F137" s="117">
        <f>IF(AND(D137&lt;&gt;"",E137&lt;&gt;""),E137-D137,"")</f>
        <v/>
      </c>
      <c r="G137" s="141" t="inlineStr">
        <is>
          <t>Planned</t>
        </is>
      </c>
      <c r="H137" s="198" t="inlineStr">
        <is>
          <t>WF-35,WF-36,WF-39</t>
        </is>
      </c>
      <c r="I137" s="199" t="inlineStr">
        <is>
          <t>DEL-GO-01</t>
        </is>
      </c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  <c r="Z137" s="32" t="n"/>
      <c r="AA137" s="32" t="n"/>
      <c r="AB137" s="32" t="n"/>
      <c r="AC137" s="32" t="n"/>
      <c r="AD137" s="32" t="n"/>
      <c r="AE137" s="32" t="n"/>
      <c r="AF137" s="32" t="n"/>
    </row>
    <row r="138" ht="14" customHeight="1">
      <c r="A138" s="142" t="n">
        <v>120</v>
      </c>
      <c r="B138" s="147" t="inlineStr">
        <is>
          <t>6.2  Go / No-Go Governance</t>
        </is>
      </c>
      <c r="C138" s="144" t="inlineStr">
        <is>
          <t>SteerCo / Sponsor</t>
        </is>
      </c>
      <c r="D138" s="116" t="n">
        <v>45887</v>
      </c>
      <c r="E138" s="116" t="n">
        <v>45889</v>
      </c>
      <c r="F138" s="119">
        <f>IF(AND(D138&lt;&gt;"",E138&lt;&gt;""),E138-D138,"")</f>
        <v/>
      </c>
      <c r="G138" s="141" t="inlineStr">
        <is>
          <t>Planned</t>
        </is>
      </c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  <c r="Z138" s="32" t="n"/>
      <c r="AA138" s="32" t="n"/>
      <c r="AB138" s="32" t="n"/>
      <c r="AC138" s="32" t="n"/>
      <c r="AD138" s="32" t="n"/>
      <c r="AE138" s="32" t="n"/>
      <c r="AF138" s="32" t="n"/>
    </row>
    <row r="139" ht="18" customHeight="1">
      <c r="A139" s="137" t="n">
        <v>121</v>
      </c>
      <c r="B139" s="146" t="inlineStr">
        <is>
          <t xml:space="preserve">      Go / No-Go checklist review — 25-point criteria (tech, data, training, ops)</t>
        </is>
      </c>
      <c r="C139" s="139" t="inlineStr">
        <is>
          <t>PwC PMO</t>
        </is>
      </c>
      <c r="D139" s="118" t="n">
        <v>45887</v>
      </c>
      <c r="E139" s="118" t="n">
        <v>45887</v>
      </c>
      <c r="F139" s="117">
        <f>IF(AND(D139&lt;&gt;"",E139&lt;&gt;""),E139-D139,"")</f>
        <v/>
      </c>
      <c r="G139" s="141" t="inlineStr">
        <is>
          <t>Planned</t>
        </is>
      </c>
      <c r="H139" s="198" t="inlineStr">
        <is>
          <t>ALL WF exit criteria</t>
        </is>
      </c>
      <c r="I139" s="199" t="inlineStr">
        <is>
          <t>DEL-GO-01</t>
        </is>
      </c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  <c r="Z139" s="32" t="n"/>
      <c r="AA139" s="32" t="n"/>
      <c r="AB139" s="32" t="n"/>
      <c r="AC139" s="32" t="n"/>
      <c r="AD139" s="32" t="n"/>
      <c r="AE139" s="32" t="n"/>
      <c r="AF139" s="32" t="n"/>
    </row>
    <row r="140" ht="14" customHeight="1">
      <c r="A140" s="142" t="n">
        <v>122</v>
      </c>
      <c r="B140" s="143" t="inlineStr">
        <is>
          <t xml:space="preserve">      SteerCo Go / No-Go decision meeting</t>
        </is>
      </c>
      <c r="C140" s="144" t="inlineStr">
        <is>
          <t>SteerCo / CIO / CFO</t>
        </is>
      </c>
      <c r="D140" s="118" t="n">
        <v>45887</v>
      </c>
      <c r="E140" s="118" t="n">
        <v>45887</v>
      </c>
      <c r="F140" s="119">
        <f>IF(AND(D140&lt;&gt;"",E140&lt;&gt;""),E140-D140,"")</f>
        <v/>
      </c>
      <c r="G140" s="141" t="inlineStr">
        <is>
          <t>Planned</t>
        </is>
      </c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  <c r="Z140" s="32" t="n"/>
      <c r="AA140" s="32" t="n"/>
      <c r="AB140" s="32" t="n"/>
      <c r="AC140" s="32" t="n"/>
      <c r="AD140" s="32" t="n"/>
      <c r="AE140" s="32" t="n"/>
      <c r="AF140" s="32" t="n"/>
    </row>
    <row r="141" ht="14" customHeight="1">
      <c r="A141" s="137" t="n">
        <v>123</v>
      </c>
      <c r="B141" s="146" t="inlineStr">
        <is>
          <t xml:space="preserve">      Production system activation — EPM Automate scheduler live; user access granted</t>
        </is>
      </c>
      <c r="C141" s="139" t="inlineStr">
        <is>
          <t>IT</t>
        </is>
      </c>
      <c r="D141" s="118" t="n">
        <v>45888</v>
      </c>
      <c r="E141" s="118" t="n">
        <v>45889</v>
      </c>
      <c r="F141" s="117">
        <f>IF(AND(D141&lt;&gt;"",E141&lt;&gt;""),E141-D141,"")</f>
        <v/>
      </c>
      <c r="G141" s="141" t="inlineStr">
        <is>
          <t>Planned</t>
        </is>
      </c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  <c r="Z141" s="32" t="n"/>
      <c r="AA141" s="32" t="n"/>
      <c r="AB141" s="32" t="n"/>
      <c r="AC141" s="32" t="n"/>
      <c r="AD141" s="32" t="n"/>
      <c r="AE141" s="32" t="n"/>
      <c r="AF141" s="32" t="n"/>
    </row>
    <row r="142" ht="16" customHeight="1">
      <c r="A142" s="47" t="inlineStr">
        <is>
          <t>▲</t>
        </is>
      </c>
      <c r="B142" s="48" t="inlineStr">
        <is>
          <t>▲ GO-LIVE — Oracle EPM WFP &amp; OPEX G&amp;A PRODUCTION (Aug 20)</t>
        </is>
      </c>
      <c r="C142" s="49" t="inlineStr">
        <is>
          <t>Sponsor / CIO / CFO</t>
        </is>
      </c>
      <c r="D142" s="122" t="n">
        <v>45889</v>
      </c>
      <c r="E142" s="122" t="n">
        <v>45889</v>
      </c>
      <c r="F142" s="51" t="n"/>
      <c r="G142" s="52" t="inlineStr">
        <is>
          <t>Planned</t>
        </is>
      </c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  <c r="AE142" s="53" t="n"/>
      <c r="AF142" s="53" t="n"/>
    </row>
    <row r="143" ht="14" customHeight="1">
      <c r="A143" s="142" t="n">
        <v>124</v>
      </c>
      <c r="B143" s="147" t="inlineStr">
        <is>
          <t>6.3  Go-Live Hypercare Entry (Weeks 1–2)</t>
        </is>
      </c>
      <c r="C143" s="144" t="inlineStr">
        <is>
          <t>PwC</t>
        </is>
      </c>
      <c r="D143" s="116" t="n">
        <v>45889</v>
      </c>
      <c r="E143" s="116" t="n">
        <v>45905</v>
      </c>
      <c r="F143" s="119">
        <f>IF(AND(D143&lt;&gt;"",E143&lt;&gt;""),E143-D143,"")</f>
        <v/>
      </c>
      <c r="G143" s="141" t="inlineStr">
        <is>
          <t>Planned</t>
        </is>
      </c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  <c r="AA143" s="32" t="n"/>
      <c r="AB143" s="32" t="n"/>
      <c r="AC143" s="32" t="n"/>
      <c r="AD143" s="32" t="n"/>
      <c r="AE143" s="32" t="n"/>
      <c r="AF143" s="32" t="n"/>
    </row>
    <row r="144" ht="14" customHeight="1">
      <c r="A144" s="137" t="n">
        <v>125</v>
      </c>
      <c r="B144" s="146" t="inlineStr">
        <is>
          <t xml:space="preserve">      Hypercare war room — daily triage, P1 4hr SLA, P2 1-day SLA</t>
        </is>
      </c>
      <c r="C144" s="139" t="inlineStr">
        <is>
          <t>PwC</t>
        </is>
      </c>
      <c r="D144" s="118" t="n">
        <v>45889</v>
      </c>
      <c r="E144" s="118" t="n">
        <v>45905</v>
      </c>
      <c r="F144" s="117">
        <f>IF(AND(D144&lt;&gt;"",E144&lt;&gt;""),E144-D144,"")</f>
        <v/>
      </c>
      <c r="G144" s="141" t="inlineStr">
        <is>
          <t>Planned</t>
        </is>
      </c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  <c r="Z144" s="32" t="n"/>
      <c r="AA144" s="32" t="n"/>
      <c r="AB144" s="32" t="n"/>
      <c r="AC144" s="32" t="n"/>
      <c r="AD144" s="32" t="n"/>
      <c r="AE144" s="32" t="n"/>
      <c r="AF144" s="32" t="n"/>
    </row>
    <row r="145" ht="14" customHeight="1">
      <c r="A145" s="142" t="n">
        <v>126</v>
      </c>
      <c r="B145" s="143" t="inlineStr">
        <is>
          <t xml:space="preserve">      Super-user floor support — Dept. Finance &amp; FP&amp;A desk-side assistance</t>
        </is>
      </c>
      <c r="C145" s="144" t="inlineStr">
        <is>
          <t>PwC OCM</t>
        </is>
      </c>
      <c r="D145" s="118" t="n">
        <v>45889</v>
      </c>
      <c r="E145" s="118" t="n">
        <v>45905</v>
      </c>
      <c r="F145" s="119">
        <f>IF(AND(D145&lt;&gt;"",E145&lt;&gt;""),E145-D145,"")</f>
        <v/>
      </c>
      <c r="G145" s="141" t="inlineStr">
        <is>
          <t>Planned</t>
        </is>
      </c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  <c r="AA145" s="32" t="n"/>
      <c r="AB145" s="32" t="n"/>
      <c r="AC145" s="32" t="n"/>
      <c r="AD145" s="32" t="n"/>
      <c r="AE145" s="32" t="n"/>
      <c r="AF145" s="32" t="n"/>
    </row>
    <row r="146" ht="17" customHeight="1">
      <c r="A146" s="40" t="inlineStr"/>
      <c r="B146" s="71" t="inlineStr">
        <is>
          <t>PHASE 7 — PARALLEL RUN  (Aug 21 – Oct 21)</t>
        </is>
      </c>
      <c r="C146" s="42" t="inlineStr">
        <is>
          <t>Finance / PwC</t>
        </is>
      </c>
      <c r="D146" s="128" t="n">
        <v>45890</v>
      </c>
      <c r="E146" s="128" t="n">
        <v>45947</v>
      </c>
      <c r="F146" s="121">
        <f>(E146-D146)</f>
        <v/>
      </c>
      <c r="G146" s="73" t="inlineStr">
        <is>
          <t>Planned</t>
        </is>
      </c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</row>
    <row r="147" ht="18" customHeight="1">
      <c r="A147" s="137" t="n">
        <v>127</v>
      </c>
      <c r="B147" s="138" t="inlineStr">
        <is>
          <t>7.1  Parallel Run Governance Setup</t>
        </is>
      </c>
      <c r="C147" s="139" t="inlineStr">
        <is>
          <t>PwC PMO / Finance</t>
        </is>
      </c>
      <c r="D147" s="116" t="n">
        <v>45890</v>
      </c>
      <c r="E147" s="116" t="n">
        <v>45898</v>
      </c>
      <c r="F147" s="117">
        <f>IF(AND(D147&lt;&gt;"",E147&lt;&gt;""),E147-D147,"")</f>
        <v/>
      </c>
      <c r="G147" s="141" t="inlineStr">
        <is>
          <t>Planned</t>
        </is>
      </c>
      <c r="H147" s="198" t="inlineStr">
        <is>
          <t>WF-53,WF-88</t>
        </is>
      </c>
      <c r="I147" s="199" t="inlineStr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  <c r="AA147" s="32" t="n"/>
      <c r="AB147" s="32" t="n"/>
      <c r="AC147" s="32" t="n"/>
      <c r="AD147" s="32" t="n"/>
      <c r="AE147" s="32" t="n"/>
      <c r="AF147" s="32" t="n"/>
    </row>
    <row r="148" ht="18" customHeight="1">
      <c r="A148" s="142" t="n">
        <v>128</v>
      </c>
      <c r="B148" s="143" t="inlineStr">
        <is>
          <t xml:space="preserve">      Parallel run governance framework — weekly checkpoints, escalation protocol</t>
        </is>
      </c>
      <c r="C148" s="144" t="inlineStr">
        <is>
          <t>PMO</t>
        </is>
      </c>
      <c r="D148" s="118" t="n">
        <v>45890</v>
      </c>
      <c r="E148" s="118" t="n">
        <v>45891</v>
      </c>
      <c r="F148" s="119">
        <f>IF(AND(D148&lt;&gt;"",E148&lt;&gt;""),E148-D148,"")</f>
        <v/>
      </c>
      <c r="G148" s="141" t="inlineStr">
        <is>
          <t>Planned</t>
        </is>
      </c>
      <c r="H148" s="198" t="inlineStr">
        <is>
          <t>WF-53</t>
        </is>
      </c>
      <c r="I148" s="199" t="inlineStr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  <c r="AA148" s="32" t="n"/>
      <c r="AB148" s="32" t="n"/>
      <c r="AC148" s="32" t="n"/>
      <c r="AD148" s="32" t="n"/>
      <c r="AE148" s="32" t="n"/>
      <c r="AF148" s="32" t="n"/>
    </row>
    <row r="149" ht="18" customHeight="1">
      <c r="A149" s="137" t="n">
        <v>129</v>
      </c>
      <c r="B149" s="146" t="inlineStr">
        <is>
          <t xml:space="preserve">      Variance tolerance thresholds defined — $ tolerance &amp; % FTE tolerance</t>
        </is>
      </c>
      <c r="C149" s="139" t="inlineStr">
        <is>
          <t>Finance / PwC</t>
        </is>
      </c>
      <c r="D149" s="118" t="n">
        <v>45890</v>
      </c>
      <c r="E149" s="118" t="n">
        <v>45891</v>
      </c>
      <c r="F149" s="117">
        <f>IF(AND(D149&lt;&gt;"",E149&lt;&gt;""),E149-D149,"")</f>
        <v/>
      </c>
      <c r="G149" s="141" t="inlineStr">
        <is>
          <t>Planned</t>
        </is>
      </c>
      <c r="H149" s="198" t="inlineStr">
        <is>
          <t>WF-94</t>
        </is>
      </c>
      <c r="I149" s="199" t="inlineStr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  <c r="Z149" s="32" t="n"/>
      <c r="AA149" s="32" t="n"/>
      <c r="AB149" s="32" t="n"/>
      <c r="AC149" s="32" t="n"/>
      <c r="AD149" s="32" t="n"/>
      <c r="AE149" s="32" t="n"/>
      <c r="AF149" s="32" t="n"/>
    </row>
    <row r="150" ht="14" customHeight="1">
      <c r="A150" s="142" t="n">
        <v>130</v>
      </c>
      <c r="B150" s="143" t="inlineStr">
        <is>
          <t xml:space="preserve">      Parallel run test scope — processes, reports &amp; key metrics to validate</t>
        </is>
      </c>
      <c r="C150" s="144" t="inlineStr">
        <is>
          <t>Finance / PwC</t>
        </is>
      </c>
      <c r="D150" s="118" t="n">
        <v>45890</v>
      </c>
      <c r="E150" s="118" t="n">
        <v>45898</v>
      </c>
      <c r="F150" s="119">
        <f>IF(AND(D150&lt;&gt;"",E150&lt;&gt;""),E150-D150,"")</f>
        <v/>
      </c>
      <c r="G150" s="141" t="inlineStr">
        <is>
          <t>Planned</t>
        </is>
      </c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n"/>
      <c r="AA150" s="32" t="n"/>
      <c r="AB150" s="32" t="n"/>
      <c r="AC150" s="32" t="n"/>
      <c r="AD150" s="32" t="n"/>
      <c r="AE150" s="32" t="n"/>
      <c r="AF150" s="32" t="n"/>
    </row>
    <row r="151" ht="14" customHeight="1">
      <c r="A151" s="137" t="n">
        <v>131</v>
      </c>
      <c r="B151" s="146" t="inlineStr">
        <is>
          <t xml:space="preserve">      Parallel run reporting cadence — weekly variance report template</t>
        </is>
      </c>
      <c r="C151" s="139" t="inlineStr">
        <is>
          <t>PwC PMO</t>
        </is>
      </c>
      <c r="D151" s="118" t="n">
        <v>45890</v>
      </c>
      <c r="E151" s="118" t="n">
        <v>45898</v>
      </c>
      <c r="F151" s="117">
        <f>IF(AND(D151&lt;&gt;"",E151&lt;&gt;""),E151-D151,"")</f>
        <v/>
      </c>
      <c r="G151" s="141" t="inlineStr">
        <is>
          <t>Planned</t>
        </is>
      </c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  <c r="AA151" s="32" t="n"/>
      <c r="AB151" s="32" t="n"/>
      <c r="AC151" s="32" t="n"/>
      <c r="AD151" s="32" t="n"/>
      <c r="AE151" s="32" t="n"/>
      <c r="AF151" s="32" t="n"/>
    </row>
    <row r="152" ht="14" customHeight="1">
      <c r="A152" s="142" t="n">
        <v>132</v>
      </c>
      <c r="B152" s="147" t="inlineStr">
        <is>
          <t>7.2  Parallel Run Execution (8-week run)</t>
        </is>
      </c>
      <c r="C152" s="144" t="inlineStr">
        <is>
          <t>Finance / PwC</t>
        </is>
      </c>
      <c r="D152" s="116" t="n">
        <v>45901</v>
      </c>
      <c r="E152" s="116" t="n">
        <v>45947</v>
      </c>
      <c r="F152" s="119">
        <f>IF(AND(D152&lt;&gt;"",E152&lt;&gt;""),E152-D152,"")</f>
        <v/>
      </c>
      <c r="G152" s="141" t="inlineStr">
        <is>
          <t>Planned</t>
        </is>
      </c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  <c r="Z152" s="32" t="n"/>
      <c r="AA152" s="32" t="n"/>
      <c r="AB152" s="32" t="n"/>
      <c r="AC152" s="32" t="n"/>
      <c r="AD152" s="32" t="n"/>
      <c r="AE152" s="32" t="n"/>
      <c r="AF152" s="32" t="n"/>
    </row>
    <row r="153" ht="18" customHeight="1">
      <c r="A153" s="137" t="n">
        <v>133</v>
      </c>
      <c r="B153" s="146" t="inlineStr">
        <is>
          <t xml:space="preserve">      CUST_ParallelRunCheck: EPM vs legacy — position-level comparison (all depts)</t>
        </is>
      </c>
      <c r="C153" s="139" t="inlineStr">
        <is>
          <t>Finance / PwC</t>
        </is>
      </c>
      <c r="D153" s="118" t="n">
        <v>45901</v>
      </c>
      <c r="E153" s="118" t="n">
        <v>45947</v>
      </c>
      <c r="F153" s="117">
        <f>IF(AND(D153&lt;&gt;"",E153&lt;&gt;""),E153-D153,"")</f>
        <v/>
      </c>
      <c r="G153" s="141" t="inlineStr">
        <is>
          <t>Planned</t>
        </is>
      </c>
      <c r="H153" s="198" t="inlineStr">
        <is>
          <t>WF-53</t>
        </is>
      </c>
      <c r="I153" s="199" t="inlineStr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  <c r="AA153" s="32" t="n"/>
      <c r="AB153" s="32" t="n"/>
      <c r="AC153" s="32" t="n"/>
      <c r="AD153" s="32" t="n"/>
      <c r="AE153" s="32" t="n"/>
      <c r="AF153" s="32" t="n"/>
    </row>
    <row r="154" ht="18" customHeight="1">
      <c r="A154" s="142" t="n">
        <v>134</v>
      </c>
      <c r="B154" s="143" t="inlineStr">
        <is>
          <t xml:space="preserve">      WFP output comparison — HC totals, compensation, FTE counts by dept</t>
        </is>
      </c>
      <c r="C154" s="144" t="inlineStr">
        <is>
          <t>Finance</t>
        </is>
      </c>
      <c r="D154" s="118" t="n">
        <v>45901</v>
      </c>
      <c r="E154" s="118" t="n">
        <v>45947</v>
      </c>
      <c r="F154" s="119">
        <f>IF(AND(D154&lt;&gt;"",E154&lt;&gt;""),E154-D154,"")</f>
        <v/>
      </c>
      <c r="G154" s="141" t="inlineStr">
        <is>
          <t>Planned</t>
        </is>
      </c>
      <c r="H154" s="198" t="inlineStr">
        <is>
          <t>WF-19,WF-42,WF-43</t>
        </is>
      </c>
      <c r="I154" s="199" t="inlineStr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  <c r="Z154" s="32" t="n"/>
      <c r="AA154" s="32" t="n"/>
      <c r="AB154" s="32" t="n"/>
      <c r="AC154" s="32" t="n"/>
      <c r="AD154" s="32" t="n"/>
      <c r="AE154" s="32" t="n"/>
      <c r="AF154" s="32" t="n"/>
    </row>
    <row r="155" ht="18" customHeight="1">
      <c r="A155" s="137" t="n">
        <v>135</v>
      </c>
      <c r="B155" s="146" t="inlineStr">
        <is>
          <t xml:space="preserve">      OPEX G&amp;A comparison — G&amp;A line items, cost centre totals, BOR allocation</t>
        </is>
      </c>
      <c r="C155" s="139" t="inlineStr">
        <is>
          <t>FP&amp;A</t>
        </is>
      </c>
      <c r="D155" s="118" t="n">
        <v>45901</v>
      </c>
      <c r="E155" s="118" t="n">
        <v>45947</v>
      </c>
      <c r="F155" s="117">
        <f>IF(AND(D155&lt;&gt;"",E155&lt;&gt;""),E155-D155,"")</f>
        <v/>
      </c>
      <c r="G155" s="141" t="inlineStr">
        <is>
          <t>Planned</t>
        </is>
      </c>
      <c r="H155" s="198" t="inlineStr">
        <is>
          <t>WF-33,WF-87</t>
        </is>
      </c>
      <c r="I155" s="199" t="inlineStr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  <c r="Z155" s="32" t="n"/>
      <c r="AA155" s="32" t="n"/>
      <c r="AB155" s="32" t="n"/>
      <c r="AC155" s="32" t="n"/>
      <c r="AD155" s="32" t="n"/>
      <c r="AE155" s="32" t="n"/>
      <c r="AF155" s="32" t="n"/>
    </row>
    <row r="156" ht="18" customHeight="1">
      <c r="A156" s="142" t="n">
        <v>136</v>
      </c>
      <c r="B156" s="143" t="inlineStr">
        <is>
          <t xml:space="preserve">      Reporting parity validation — EPM vs legacy management reports</t>
        </is>
      </c>
      <c r="C156" s="144" t="inlineStr">
        <is>
          <t>Finance / FP&amp;A</t>
        </is>
      </c>
      <c r="D156" s="118" t="n">
        <v>45901</v>
      </c>
      <c r="E156" s="118" t="n">
        <v>45947</v>
      </c>
      <c r="F156" s="119">
        <f>IF(AND(D156&lt;&gt;"",E156&lt;&gt;""),E156-D156,"")</f>
        <v/>
      </c>
      <c r="G156" s="141" t="inlineStr">
        <is>
          <t>Planned</t>
        </is>
      </c>
      <c r="H156" s="198" t="inlineStr">
        <is>
          <t>WF-03,WF-87</t>
        </is>
      </c>
      <c r="I156" s="199" t="inlineStr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  <c r="Z156" s="32" t="n"/>
      <c r="AA156" s="32" t="n"/>
      <c r="AB156" s="32" t="n"/>
      <c r="AC156" s="32" t="n"/>
      <c r="AD156" s="32" t="n"/>
      <c r="AE156" s="32" t="n"/>
      <c r="AF156" s="32" t="n"/>
    </row>
    <row r="157" ht="18" customHeight="1">
      <c r="A157" s="137" t="n">
        <v>137</v>
      </c>
      <c r="B157" s="146" t="inlineStr">
        <is>
          <t xml:space="preserve">      Weekly variance analysis — root-cause investigation for threshold breaches</t>
        </is>
      </c>
      <c r="C157" s="139" t="inlineStr">
        <is>
          <t>PwC / Finance</t>
        </is>
      </c>
      <c r="D157" s="118" t="n">
        <v>45901</v>
      </c>
      <c r="E157" s="118" t="n">
        <v>45947</v>
      </c>
      <c r="F157" s="117">
        <f>IF(AND(D157&lt;&gt;"",E157&lt;&gt;""),E157-D157,"")</f>
        <v/>
      </c>
      <c r="G157" s="141" t="inlineStr">
        <is>
          <t>Planned</t>
        </is>
      </c>
      <c r="H157" s="198" t="inlineStr">
        <is>
          <t>WF-94</t>
        </is>
      </c>
      <c r="I157" s="199" t="inlineStr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  <c r="Z157" s="32" t="n"/>
      <c r="AA157" s="32" t="n"/>
      <c r="AB157" s="32" t="n"/>
      <c r="AC157" s="32" t="n"/>
      <c r="AD157" s="32" t="n"/>
      <c r="AE157" s="32" t="n"/>
      <c r="AF157" s="32" t="n"/>
    </row>
    <row r="158" ht="18" customHeight="1">
      <c r="A158" s="142" t="n">
        <v>138</v>
      </c>
      <c r="B158" s="143" t="inlineStr">
        <is>
          <t xml:space="preserve">      Configuration fine-tuning — calc rule adjustments, metadata corrections</t>
        </is>
      </c>
      <c r="C158" s="144" t="inlineStr">
        <is>
          <t>PwC</t>
        </is>
      </c>
      <c r="D158" s="118" t="n">
        <v>45901</v>
      </c>
      <c r="E158" s="118" t="n">
        <v>45940</v>
      </c>
      <c r="F158" s="119">
        <f>IF(AND(D158&lt;&gt;"",E158&lt;&gt;""),E158-D158,"")</f>
        <v/>
      </c>
      <c r="G158" s="141" t="inlineStr">
        <is>
          <t>Planned</t>
        </is>
      </c>
      <c r="H158" s="198" t="inlineStr">
        <is>
          <t>WF-51</t>
        </is>
      </c>
      <c r="I158" s="199" t="inlineStr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  <c r="Z158" s="32" t="n"/>
      <c r="AA158" s="32" t="n"/>
      <c r="AB158" s="32" t="n"/>
      <c r="AC158" s="32" t="n"/>
      <c r="AD158" s="32" t="n"/>
      <c r="AE158" s="32" t="n"/>
      <c r="AF158" s="32" t="n"/>
    </row>
    <row r="159" ht="18" customHeight="1">
      <c r="A159" s="137" t="n">
        <v>139</v>
      </c>
      <c r="B159" s="146" t="inlineStr">
        <is>
          <t xml:space="preserve">      Weekly Parallel Run Checkpoint meetings — variance review, decisions log</t>
        </is>
      </c>
      <c r="C159" s="139" t="inlineStr">
        <is>
          <t>PMO / CFO / PwC</t>
        </is>
      </c>
      <c r="D159" s="118" t="n">
        <v>45901</v>
      </c>
      <c r="E159" s="118" t="n">
        <v>45947</v>
      </c>
      <c r="F159" s="117">
        <f>IF(AND(D159&lt;&gt;"",E159&lt;&gt;""),E159-D159,"")</f>
        <v/>
      </c>
      <c r="G159" s="141" t="inlineStr">
        <is>
          <t>Planned</t>
        </is>
      </c>
      <c r="H159" s="198" t="inlineStr">
        <is>
          <t>WF-93</t>
        </is>
      </c>
      <c r="I159" s="199" t="inlineStr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  <c r="Z159" s="32" t="n"/>
      <c r="AA159" s="32" t="n"/>
      <c r="AB159" s="32" t="n"/>
      <c r="AC159" s="32" t="n"/>
      <c r="AD159" s="32" t="n"/>
      <c r="AE159" s="32" t="n"/>
      <c r="AF159" s="32" t="n"/>
    </row>
    <row r="160" ht="14" customHeight="1">
      <c r="A160" s="142" t="n">
        <v>140</v>
      </c>
      <c r="B160" s="147" t="inlineStr">
        <is>
          <t>7.3  Parallel Run Deliverables &amp; Exit</t>
        </is>
      </c>
      <c r="C160" s="144" t="inlineStr">
        <is>
          <t>Finance / PMO</t>
        </is>
      </c>
      <c r="D160" s="116" t="n">
        <v>45943</v>
      </c>
      <c r="E160" s="116" t="n">
        <v>45947</v>
      </c>
      <c r="F160" s="119">
        <f>IF(AND(D160&lt;&gt;"",E160&lt;&gt;""),E160-D160,"")</f>
        <v/>
      </c>
      <c r="G160" s="141" t="inlineStr">
        <is>
          <t>Planned</t>
        </is>
      </c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  <c r="AA160" s="32" t="n"/>
      <c r="AB160" s="32" t="n"/>
      <c r="AC160" s="32" t="n"/>
      <c r="AD160" s="32" t="n"/>
      <c r="AE160" s="32" t="n"/>
      <c r="AF160" s="32" t="n"/>
    </row>
    <row r="161" ht="14" customHeight="1">
      <c r="A161" s="137" t="n">
        <v>141</v>
      </c>
      <c r="B161" s="146" t="inlineStr">
        <is>
          <t xml:space="preserve">      Parallel run validation reports — weekly (8 reports)</t>
        </is>
      </c>
      <c r="C161" s="139" t="inlineStr">
        <is>
          <t>PwC / Finance</t>
        </is>
      </c>
      <c r="D161" s="118" t="n">
        <v>45901</v>
      </c>
      <c r="E161" s="118" t="n">
        <v>45947</v>
      </c>
      <c r="F161" s="117">
        <f>IF(AND(D161&lt;&gt;"",E161&lt;&gt;""),E161-D161,"")</f>
        <v/>
      </c>
      <c r="G161" s="141" t="inlineStr">
        <is>
          <t>Planned</t>
        </is>
      </c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  <c r="Z161" s="32" t="n"/>
      <c r="AA161" s="32" t="n"/>
      <c r="AB161" s="32" t="n"/>
      <c r="AC161" s="32" t="n"/>
      <c r="AD161" s="32" t="n"/>
      <c r="AE161" s="32" t="n"/>
      <c r="AF161" s="32" t="n"/>
    </row>
    <row r="162" ht="14" customHeight="1">
      <c r="A162" s="142" t="n">
        <v>142</v>
      </c>
      <c r="B162" s="143" t="inlineStr">
        <is>
          <t xml:space="preserve">      Variance analysis &amp; remediation log — all breaches resolved or accepted</t>
        </is>
      </c>
      <c r="C162" s="144" t="inlineStr">
        <is>
          <t>Finance / PwC</t>
        </is>
      </c>
      <c r="D162" s="118" t="n">
        <v>45943</v>
      </c>
      <c r="E162" s="118" t="n">
        <v>45947</v>
      </c>
      <c r="F162" s="119">
        <f>IF(AND(D162&lt;&gt;"",E162&lt;&gt;""),E162-D162,"")</f>
        <v/>
      </c>
      <c r="G162" s="141" t="inlineStr">
        <is>
          <t>Planned</t>
        </is>
      </c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  <c r="Z162" s="32" t="n"/>
      <c r="AA162" s="32" t="n"/>
      <c r="AB162" s="32" t="n"/>
      <c r="AC162" s="32" t="n"/>
      <c r="AD162" s="32" t="n"/>
      <c r="AE162" s="32" t="n"/>
      <c r="AF162" s="32" t="n"/>
    </row>
    <row r="163" ht="14" customHeight="1">
      <c r="A163" s="137" t="n">
        <v>143</v>
      </c>
      <c r="B163" s="146" t="inlineStr">
        <is>
          <t xml:space="preserve">      Parallel run sign-off memo — CFO confirmation of EPM accuracy</t>
        </is>
      </c>
      <c r="C163" s="139" t="inlineStr">
        <is>
          <t>CFO</t>
        </is>
      </c>
      <c r="D163" s="118" t="n">
        <v>45947</v>
      </c>
      <c r="E163" s="118" t="n">
        <v>45947</v>
      </c>
      <c r="F163" s="117">
        <f>IF(AND(D163&lt;&gt;"",E163&lt;&gt;""),E163-D163,"")</f>
        <v/>
      </c>
      <c r="G163" s="141" t="inlineStr">
        <is>
          <t>Planned</t>
        </is>
      </c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  <c r="Z163" s="32" t="n"/>
      <c r="AA163" s="32" t="n"/>
      <c r="AB163" s="32" t="n"/>
      <c r="AC163" s="32" t="n"/>
      <c r="AD163" s="32" t="n"/>
      <c r="AE163" s="32" t="n"/>
      <c r="AF163" s="32" t="n"/>
    </row>
    <row r="164" ht="14" customHeight="1">
      <c r="A164" s="142" t="n">
        <v>144</v>
      </c>
      <c r="B164" s="143" t="inlineStr">
        <is>
          <t xml:space="preserve">      Final readiness confirmation for legacy system decommissioning</t>
        </is>
      </c>
      <c r="C164" s="144" t="inlineStr">
        <is>
          <t>CIO / CFO</t>
        </is>
      </c>
      <c r="D164" s="118" t="n">
        <v>45947</v>
      </c>
      <c r="E164" s="118" t="n">
        <v>45947</v>
      </c>
      <c r="F164" s="119">
        <f>IF(AND(D164&lt;&gt;"",E164&lt;&gt;""),E164-D164,"")</f>
        <v/>
      </c>
      <c r="G164" s="141" t="inlineStr">
        <is>
          <t>Planned</t>
        </is>
      </c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  <c r="Z164" s="32" t="n"/>
      <c r="AA164" s="32" t="n"/>
      <c r="AB164" s="32" t="n"/>
      <c r="AC164" s="32" t="n"/>
      <c r="AD164" s="32" t="n"/>
      <c r="AE164" s="32" t="n"/>
      <c r="AF164" s="32" t="n"/>
    </row>
    <row r="165" ht="16" customHeight="1">
      <c r="A165" s="47" t="inlineStr">
        <is>
          <t>▲</t>
        </is>
      </c>
      <c r="B165" s="48" t="inlineStr">
        <is>
          <t>▲ PARALLEL RUN EXIT — Legacy decommission authorized (Oct 21)</t>
        </is>
      </c>
      <c r="C165" s="49" t="inlineStr">
        <is>
          <t>CFO / CIO / Sponsor</t>
        </is>
      </c>
      <c r="D165" s="122" t="n">
        <v>45947</v>
      </c>
      <c r="E165" s="122" t="n">
        <v>45947</v>
      </c>
      <c r="F165" s="51" t="n"/>
      <c r="G165" s="52" t="inlineStr">
        <is>
          <t>Planned</t>
        </is>
      </c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</row>
    <row r="166" ht="17" customHeight="1">
      <c r="A166" s="40" t="inlineStr"/>
      <c r="B166" s="74" t="inlineStr">
        <is>
          <t>PHASE 8 — EVOLVE / HYPERCARE &amp; STEADY-STATE  (Post Oct 21)</t>
        </is>
      </c>
      <c r="C166" s="42" t="inlineStr">
        <is>
          <t>PwC / IT / Finance</t>
        </is>
      </c>
      <c r="D166" s="129" t="n">
        <v>45950</v>
      </c>
      <c r="E166" s="129" t="n">
        <v>45968</v>
      </c>
      <c r="F166" s="121">
        <f>(E166-D166)</f>
        <v/>
      </c>
      <c r="G166" s="76" t="inlineStr">
        <is>
          <t>Planned</t>
        </is>
      </c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</row>
    <row r="167" ht="18" customHeight="1">
      <c r="A167" s="137" t="n">
        <v>145</v>
      </c>
      <c r="B167" s="138" t="inlineStr">
        <is>
          <t>8.1  Post-Go-Live &amp; Post-Parallel-Run Review</t>
        </is>
      </c>
      <c r="C167" s="139" t="inlineStr">
        <is>
          <t>PwC PMO</t>
        </is>
      </c>
      <c r="D167" s="116" t="n">
        <v>45950</v>
      </c>
      <c r="E167" s="116" t="n">
        <v>45954</v>
      </c>
      <c r="F167" s="117">
        <f>IF(AND(D167&lt;&gt;"",E167&lt;&gt;""),E167-D167,"")</f>
        <v/>
      </c>
      <c r="G167" s="141" t="inlineStr">
        <is>
          <t>Planned</t>
        </is>
      </c>
      <c r="H167" s="198" t="inlineStr">
        <is>
          <t>WF-03,WF-51</t>
        </is>
      </c>
      <c r="I167" s="199" t="inlineStr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  <c r="Z167" s="32" t="n"/>
      <c r="AA167" s="32" t="n"/>
      <c r="AB167" s="32" t="n"/>
      <c r="AC167" s="32" t="n"/>
      <c r="AD167" s="32" t="n"/>
      <c r="AE167" s="32" t="n"/>
      <c r="AF167" s="32" t="n"/>
    </row>
    <row r="168" ht="14" customHeight="1">
      <c r="A168" s="142" t="n">
        <v>146</v>
      </c>
      <c r="B168" s="143" t="inlineStr">
        <is>
          <t xml:space="preserve">      Post-implementation review (PIR) — lessons learned, benefit realization</t>
        </is>
      </c>
      <c r="C168" s="144" t="inlineStr">
        <is>
          <t>PMO / Sponsor</t>
        </is>
      </c>
      <c r="D168" s="118" t="n">
        <v>45950</v>
      </c>
      <c r="E168" s="118" t="n">
        <v>45954</v>
      </c>
      <c r="F168" s="119">
        <f>IF(AND(D168&lt;&gt;"",E168&lt;&gt;""),E168-D168,"")</f>
        <v/>
      </c>
      <c r="G168" s="141" t="inlineStr">
        <is>
          <t>Planned</t>
        </is>
      </c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  <c r="Z168" s="32" t="n"/>
      <c r="AA168" s="32" t="n"/>
      <c r="AB168" s="32" t="n"/>
      <c r="AC168" s="32" t="n"/>
      <c r="AD168" s="32" t="n"/>
      <c r="AE168" s="32" t="n"/>
      <c r="AF168" s="32" t="n"/>
    </row>
    <row r="169" ht="18" customHeight="1">
      <c r="A169" s="137" t="n">
        <v>147</v>
      </c>
      <c r="B169" s="146" t="inlineStr">
        <is>
          <t xml:space="preserve">      Optimization backlog — enhancements, new features, user requests</t>
        </is>
      </c>
      <c r="C169" s="139" t="inlineStr">
        <is>
          <t>Finance / IT</t>
        </is>
      </c>
      <c r="D169" s="118" t="n">
        <v>45950</v>
      </c>
      <c r="E169" s="118" t="n">
        <v>45954</v>
      </c>
      <c r="F169" s="117">
        <f>IF(AND(D169&lt;&gt;"",E169&lt;&gt;""),E169-D169,"")</f>
        <v/>
      </c>
      <c r="G169" s="141" t="inlineStr">
        <is>
          <t>Planned</t>
        </is>
      </c>
      <c r="H169" s="198" t="inlineStr">
        <is>
          <t>WF-51</t>
        </is>
      </c>
      <c r="I169" s="199" t="inlineStr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  <c r="Z169" s="32" t="n"/>
      <c r="AA169" s="32" t="n"/>
      <c r="AB169" s="32" t="n"/>
      <c r="AC169" s="32" t="n"/>
      <c r="AD169" s="32" t="n"/>
      <c r="AE169" s="32" t="n"/>
      <c r="AF169" s="32" t="n"/>
    </row>
    <row r="170" ht="14" customHeight="1">
      <c r="A170" s="142" t="n">
        <v>148</v>
      </c>
      <c r="B170" s="147" t="inlineStr">
        <is>
          <t>8.2  Hypercare Support Model</t>
        </is>
      </c>
      <c r="C170" s="144" t="inlineStr">
        <is>
          <t>PwC / IT</t>
        </is>
      </c>
      <c r="D170" s="116" t="n">
        <v>45957</v>
      </c>
      <c r="E170" s="116" t="n">
        <v>45968</v>
      </c>
      <c r="F170" s="119">
        <f>IF(AND(D170&lt;&gt;"",E170&lt;&gt;""),E170-D170,"")</f>
        <v/>
      </c>
      <c r="G170" s="141" t="inlineStr">
        <is>
          <t>Planned</t>
        </is>
      </c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  <c r="Z170" s="32" t="n"/>
      <c r="AA170" s="32" t="n"/>
      <c r="AB170" s="32" t="n"/>
      <c r="AC170" s="32" t="n"/>
      <c r="AD170" s="32" t="n"/>
      <c r="AE170" s="32" t="n"/>
      <c r="AF170" s="32" t="n"/>
    </row>
    <row r="171" ht="18" customHeight="1">
      <c r="A171" s="137" t="n">
        <v>149</v>
      </c>
      <c r="B171" s="146" t="inlineStr">
        <is>
          <t xml:space="preserve">      Break-fix SLA: P1 4hr, P2 1-day, P3 5-days — managed support</t>
        </is>
      </c>
      <c r="C171" s="139" t="inlineStr">
        <is>
          <t>PwC</t>
        </is>
      </c>
      <c r="D171" s="118" t="n">
        <v>45957</v>
      </c>
      <c r="E171" s="118" t="n">
        <v>45968</v>
      </c>
      <c r="F171" s="117">
        <f>IF(AND(D171&lt;&gt;"",E171&lt;&gt;""),E171-D171,"")</f>
        <v/>
      </c>
      <c r="G171" s="141" t="inlineStr">
        <is>
          <t>Planned</t>
        </is>
      </c>
      <c r="H171" s="198" t="inlineStr">
        <is>
          <t>WF-51</t>
        </is>
      </c>
      <c r="I171" s="199" t="inlineStr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  <c r="Z171" s="32" t="n"/>
      <c r="AA171" s="32" t="n"/>
      <c r="AB171" s="32" t="n"/>
      <c r="AC171" s="32" t="n"/>
      <c r="AD171" s="32" t="n"/>
      <c r="AE171" s="32" t="n"/>
      <c r="AF171" s="32" t="n"/>
    </row>
    <row r="172" ht="18" customHeight="1">
      <c r="A172" s="142" t="n">
        <v>150</v>
      </c>
      <c r="B172" s="143" t="inlineStr">
        <is>
          <t xml:space="preserve">      Knowledge transfer — IT run-books, admin guides, support playbooks</t>
        </is>
      </c>
      <c r="C172" s="144" t="inlineStr">
        <is>
          <t>PwC → IT</t>
        </is>
      </c>
      <c r="D172" s="118" t="n">
        <v>45957</v>
      </c>
      <c r="E172" s="118" t="n">
        <v>45968</v>
      </c>
      <c r="F172" s="119">
        <f>IF(AND(D172&lt;&gt;"",E172&lt;&gt;""),E172-D172,"")</f>
        <v/>
      </c>
      <c r="G172" s="141" t="inlineStr">
        <is>
          <t>Planned</t>
        </is>
      </c>
      <c r="H172" s="198" t="inlineStr">
        <is>
          <t>WF-58</t>
        </is>
      </c>
      <c r="I172" s="199" t="inlineStr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  <c r="Z172" s="32" t="n"/>
      <c r="AA172" s="32" t="n"/>
      <c r="AB172" s="32" t="n"/>
      <c r="AC172" s="32" t="n"/>
      <c r="AD172" s="32" t="n"/>
      <c r="AE172" s="32" t="n"/>
      <c r="AF172" s="32" t="n"/>
    </row>
    <row r="173" ht="14" customHeight="1">
      <c r="A173" s="137" t="n">
        <v>151</v>
      </c>
      <c r="B173" s="146" t="inlineStr">
        <is>
          <t xml:space="preserve">      Transition to steady-state AMS (Application Managed Services)</t>
        </is>
      </c>
      <c r="C173" s="139" t="inlineStr">
        <is>
          <t>IT / PwC</t>
        </is>
      </c>
      <c r="D173" s="118" t="n">
        <v>45964</v>
      </c>
      <c r="E173" s="118" t="n">
        <v>45968</v>
      </c>
      <c r="F173" s="117">
        <f>IF(AND(D173&lt;&gt;"",E173&lt;&gt;""),E173-D173,"")</f>
        <v/>
      </c>
      <c r="G173" s="141" t="inlineStr">
        <is>
          <t>Planned</t>
        </is>
      </c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  <c r="Z173" s="32" t="n"/>
      <c r="AA173" s="32" t="n"/>
      <c r="AB173" s="32" t="n"/>
      <c r="AC173" s="32" t="n"/>
      <c r="AD173" s="32" t="n"/>
      <c r="AE173" s="32" t="n"/>
      <c r="AF173" s="32" t="n"/>
    </row>
    <row r="174" ht="14" customHeight="1">
      <c r="A174" s="142" t="n">
        <v>152</v>
      </c>
      <c r="B174" s="147" t="inlineStr">
        <is>
          <t>8.3  Release 1b Scoping — Next Oracle EPM Modules</t>
        </is>
      </c>
      <c r="C174" s="144" t="inlineStr">
        <is>
          <t>PwC / CIO / Finance</t>
        </is>
      </c>
      <c r="D174" s="116" t="n">
        <v>45957</v>
      </c>
      <c r="E174" s="116" t="n">
        <v>45968</v>
      </c>
      <c r="F174" s="119">
        <f>IF(AND(D174&lt;&gt;"",E174&lt;&gt;""),E174-D174,"")</f>
        <v/>
      </c>
      <c r="G174" s="141" t="inlineStr">
        <is>
          <t>Planned</t>
        </is>
      </c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  <c r="Z174" s="32" t="n"/>
      <c r="AA174" s="32" t="n"/>
      <c r="AB174" s="32" t="n"/>
      <c r="AC174" s="32" t="n"/>
      <c r="AD174" s="32" t="n"/>
      <c r="AE174" s="32" t="n"/>
      <c r="AF174" s="32" t="n"/>
    </row>
    <row r="175" ht="14" customHeight="1">
      <c r="A175" s="137" t="n">
        <v>153</v>
      </c>
      <c r="B175" s="146" t="inlineStr">
        <is>
          <t xml:space="preserve">      FCCS (Financial Consolidation) — scoping &amp; business case</t>
        </is>
      </c>
      <c r="C175" s="139" t="inlineStr">
        <is>
          <t>PwC / Finance</t>
        </is>
      </c>
      <c r="D175" s="118" t="n">
        <v>45957</v>
      </c>
      <c r="E175" s="118" t="n">
        <v>45968</v>
      </c>
      <c r="F175" s="117">
        <f>IF(AND(D175&lt;&gt;"",E175&lt;&gt;""),E175-D175,"")</f>
        <v/>
      </c>
      <c r="G175" s="141" t="inlineStr">
        <is>
          <t>Planned</t>
        </is>
      </c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  <c r="Z175" s="32" t="n"/>
      <c r="AA175" s="32" t="n"/>
      <c r="AB175" s="32" t="n"/>
      <c r="AC175" s="32" t="n"/>
      <c r="AD175" s="32" t="n"/>
      <c r="AE175" s="32" t="n"/>
      <c r="AF175" s="32" t="n"/>
    </row>
    <row r="176" ht="14" customHeight="1">
      <c r="A176" s="142" t="n">
        <v>154</v>
      </c>
      <c r="B176" s="143" t="inlineStr">
        <is>
          <t xml:space="preserve">      Narrative Reporting Phase 2 — board package automation scoping</t>
        </is>
      </c>
      <c r="C176" s="144" t="inlineStr">
        <is>
          <t>PwC / Finance</t>
        </is>
      </c>
      <c r="D176" s="118" t="n">
        <v>45957</v>
      </c>
      <c r="E176" s="118" t="n">
        <v>45968</v>
      </c>
      <c r="F176" s="119">
        <f>IF(AND(D176&lt;&gt;"",E176&lt;&gt;""),E176-D176,"")</f>
        <v/>
      </c>
      <c r="G176" s="141" t="inlineStr">
        <is>
          <t>Planned</t>
        </is>
      </c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  <c r="Z176" s="32" t="n"/>
      <c r="AA176" s="32" t="n"/>
      <c r="AB176" s="32" t="n"/>
      <c r="AC176" s="32" t="n"/>
      <c r="AD176" s="32" t="n"/>
      <c r="AE176" s="32" t="n"/>
      <c r="AF176" s="32" t="n"/>
    </row>
    <row r="177" ht="14" customHeight="1">
      <c r="A177" s="137" t="n">
        <v>155</v>
      </c>
      <c r="B177" s="146" t="inlineStr">
        <is>
          <t xml:space="preserve">      PCM / Profitability Cloud — scoping assessment</t>
        </is>
      </c>
      <c r="C177" s="139" t="inlineStr">
        <is>
          <t>PwC / Finance</t>
        </is>
      </c>
      <c r="D177" s="118" t="n">
        <v>45957</v>
      </c>
      <c r="E177" s="118" t="n">
        <v>45968</v>
      </c>
      <c r="F177" s="117">
        <f>IF(AND(D177&lt;&gt;"",E177&lt;&gt;""),E177-D177,"")</f>
        <v/>
      </c>
      <c r="G177" s="141" t="inlineStr">
        <is>
          <t>Planned</t>
        </is>
      </c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  <c r="Z177" s="32" t="n"/>
      <c r="AA177" s="32" t="n"/>
      <c r="AB177" s="32" t="n"/>
      <c r="AC177" s="32" t="n"/>
      <c r="AD177" s="32" t="n"/>
      <c r="AE177" s="32" t="n"/>
      <c r="AF177" s="32" t="n"/>
    </row>
    <row r="178"/>
    <row r="179" ht="18" customHeight="1">
      <c r="A179" s="77" t="inlineStr">
        <is>
          <t xml:space="preserve">  ✏ Blue cells = editable Start/End dates (Gantt bars update automatically)  |  ▲ = Milestone Gate  |  ▼ = Today  |  Duration column auto-calculates</t>
        </is>
      </c>
      <c r="J179" s="78" t="inlineStr">
        <is>
          <t>Design &amp; Align</t>
        </is>
      </c>
      <c r="L179" s="79" t="inlineStr">
        <is>
          <t>POC</t>
        </is>
      </c>
      <c r="N179" s="80" t="inlineStr">
        <is>
          <t>Build Sprints</t>
        </is>
      </c>
      <c r="P179" s="81" t="inlineStr">
        <is>
          <t>SIT</t>
        </is>
      </c>
      <c r="R179" s="82" t="inlineStr">
        <is>
          <t>UAT</t>
        </is>
      </c>
      <c r="T179" s="83" t="inlineStr">
        <is>
          <t>Go-Live</t>
        </is>
      </c>
      <c r="V179" s="84" t="inlineStr">
        <is>
          <t>Parallel Run</t>
        </is>
      </c>
      <c r="X179" s="85" t="inlineStr">
        <is>
          <t>Evolve/Hypercare</t>
        </is>
      </c>
      <c r="Z179" s="86" t="inlineStr">
        <is>
          <t>FY Planning</t>
        </is>
      </c>
    </row>
  </sheetData>
  <mergeCells count="29">
    <mergeCell ref="L179:M179"/>
    <mergeCell ref="R179:S179"/>
    <mergeCell ref="Y5:AA5"/>
    <mergeCell ref="T179:U179"/>
    <mergeCell ref="J5:K5"/>
    <mergeCell ref="L5:N5"/>
    <mergeCell ref="A4:G4"/>
    <mergeCell ref="AB5:AC5"/>
    <mergeCell ref="W5:X5"/>
    <mergeCell ref="X179:Y179"/>
    <mergeCell ref="H4:AD4"/>
    <mergeCell ref="O5:P5"/>
    <mergeCell ref="Q5:R5"/>
    <mergeCell ref="A2:AD2"/>
    <mergeCell ref="J179:K179"/>
    <mergeCell ref="A1:AD1"/>
    <mergeCell ref="N179:O179"/>
    <mergeCell ref="A8:AD8"/>
    <mergeCell ref="P179:Q179"/>
    <mergeCell ref="A6:G6"/>
    <mergeCell ref="A13:AD13"/>
    <mergeCell ref="A3:G3"/>
    <mergeCell ref="S5:T5"/>
    <mergeCell ref="U5:V5"/>
    <mergeCell ref="V179:W179"/>
    <mergeCell ref="H5:I5"/>
    <mergeCell ref="A179:G179"/>
    <mergeCell ref="H179:I179"/>
    <mergeCell ref="A5:G5"/>
  </mergeCells>
  <conditionalFormatting sqref="J9:AF9">
    <cfRule type="expression" priority="1" dxfId="0">
      <formula>=AND($D9&lt;&gt;"",$E9&lt;&gt;"",J$6&gt;=$D9,J$6&lt;=$E9)</formula>
    </cfRule>
  </conditionalFormatting>
  <conditionalFormatting sqref="J10:AF10">
    <cfRule type="expression" priority="2" dxfId="0">
      <formula>=AND($D10&lt;&gt;"",$E10&lt;&gt;"",J$6&gt;=$D10,J$6&lt;=$E10)</formula>
    </cfRule>
  </conditionalFormatting>
  <conditionalFormatting sqref="J11:AF11">
    <cfRule type="expression" priority="3" dxfId="0">
      <formula>=AND($D11&lt;&gt;"",$E11&lt;&gt;"",J$6&gt;=$D11,J$6&lt;=$E11)</formula>
    </cfRule>
  </conditionalFormatting>
  <conditionalFormatting sqref="J12:AF12">
    <cfRule type="expression" priority="4" dxfId="0">
      <formula>=AND($D12&lt;&gt;"",$E12&lt;&gt;"",J$6&gt;=$D12,J$6&lt;=$E12)</formula>
    </cfRule>
  </conditionalFormatting>
  <conditionalFormatting sqref="J14:AF14">
    <cfRule type="expression" priority="5" dxfId="1">
      <formula>=AND($D14&lt;&gt;"",$E14&lt;&gt;"",J$6&gt;=$D14,J$6&lt;=$E14)</formula>
    </cfRule>
  </conditionalFormatting>
  <conditionalFormatting sqref="J15:AF15">
    <cfRule type="expression" priority="6" dxfId="1">
      <formula>=AND($D15&lt;&gt;"",$E15&lt;&gt;"",J$6&gt;=$D15,J$6&lt;=$E15)</formula>
    </cfRule>
  </conditionalFormatting>
  <conditionalFormatting sqref="J16:AF16">
    <cfRule type="expression" priority="7" dxfId="1">
      <formula>=AND($D16&lt;&gt;"",$E16&lt;&gt;"",J$6&gt;=$D16,J$6&lt;=$E16)</formula>
    </cfRule>
  </conditionalFormatting>
  <conditionalFormatting sqref="J17:AF17">
    <cfRule type="expression" priority="8" dxfId="1">
      <formula>=AND($D17&lt;&gt;"",$E17&lt;&gt;"",J$6&gt;=$D17,J$6&lt;=$E17)</formula>
    </cfRule>
  </conditionalFormatting>
  <conditionalFormatting sqref="J18:AF18">
    <cfRule type="expression" priority="9" dxfId="1">
      <formula>=AND($D18&lt;&gt;"",$E18&lt;&gt;"",J$6&gt;=$D18,J$6&lt;=$E18)</formula>
    </cfRule>
  </conditionalFormatting>
  <conditionalFormatting sqref="J19:AF19">
    <cfRule type="expression" priority="10" dxfId="1">
      <formula>=AND($D19&lt;&gt;"",$E19&lt;&gt;"",J$6&gt;=$D19,J$6&lt;=$E19)</formula>
    </cfRule>
  </conditionalFormatting>
  <conditionalFormatting sqref="J20:AF20">
    <cfRule type="expression" priority="11" dxfId="1">
      <formula>=AND($D20&lt;&gt;"",$E20&lt;&gt;"",J$6&gt;=$D20,J$6&lt;=$E20)</formula>
    </cfRule>
  </conditionalFormatting>
  <conditionalFormatting sqref="J21:AF21">
    <cfRule type="expression" priority="12" dxfId="1">
      <formula>=AND($D21&lt;&gt;"",$E21&lt;&gt;"",J$6&gt;=$D21,J$6&lt;=$E21)</formula>
    </cfRule>
  </conditionalFormatting>
  <conditionalFormatting sqref="J22:AF22">
    <cfRule type="expression" priority="13" dxfId="1">
      <formula>=AND($D22&lt;&gt;"",$E22&lt;&gt;"",J$6&gt;=$D22,J$6&lt;=$E22)</formula>
    </cfRule>
  </conditionalFormatting>
  <conditionalFormatting sqref="J23:AF23">
    <cfRule type="expression" priority="14" dxfId="1">
      <formula>=AND($D23&lt;&gt;"",$E23&lt;&gt;"",J$6&gt;=$D23,J$6&lt;=$E23)</formula>
    </cfRule>
  </conditionalFormatting>
  <conditionalFormatting sqref="J24:AF24">
    <cfRule type="expression" priority="15" dxfId="1">
      <formula>=AND($D24&lt;&gt;"",$E24&lt;&gt;"",J$6&gt;=$D24,J$6&lt;=$E24)</formula>
    </cfRule>
  </conditionalFormatting>
  <conditionalFormatting sqref="J25:AF25">
    <cfRule type="expression" priority="16" dxfId="1">
      <formula>=AND($D25&lt;&gt;"",$E25&lt;&gt;"",J$6&gt;=$D25,J$6&lt;=$E25)</formula>
    </cfRule>
  </conditionalFormatting>
  <conditionalFormatting sqref="J26:AF26">
    <cfRule type="expression" priority="17" dxfId="1">
      <formula>=AND($D26&lt;&gt;"",$E26&lt;&gt;"",J$6&gt;=$D26,J$6&lt;=$E26)</formula>
    </cfRule>
  </conditionalFormatting>
  <conditionalFormatting sqref="J27:AF27">
    <cfRule type="expression" priority="18" dxfId="1">
      <formula>=AND($D27&lt;&gt;"",$E27&lt;&gt;"",J$6&gt;=$D27,J$6&lt;=$E27)</formula>
    </cfRule>
  </conditionalFormatting>
  <conditionalFormatting sqref="J28:AF28">
    <cfRule type="expression" priority="19" dxfId="1">
      <formula>=AND($D28&lt;&gt;"",$E28&lt;&gt;"",J$6&gt;=$D28,J$6&lt;=$E28)</formula>
    </cfRule>
  </conditionalFormatting>
  <conditionalFormatting sqref="J29:AF29">
    <cfRule type="expression" priority="20" dxfId="1">
      <formula>=AND($D29&lt;&gt;"",$E29&lt;&gt;"",J$6&gt;=$D29,J$6&lt;=$E29)</formula>
    </cfRule>
  </conditionalFormatting>
  <conditionalFormatting sqref="J30:AF30">
    <cfRule type="expression" priority="21" dxfId="1">
      <formula>=AND($D30&lt;&gt;"",$E30&lt;&gt;"",J$6&gt;=$D30,J$6&lt;=$E30)</formula>
    </cfRule>
  </conditionalFormatting>
  <conditionalFormatting sqref="J31:AF31">
    <cfRule type="expression" priority="22" dxfId="1">
      <formula>=AND($D31&lt;&gt;"",$E31&lt;&gt;"",J$6&gt;=$D31,J$6&lt;=$E31)</formula>
    </cfRule>
  </conditionalFormatting>
  <conditionalFormatting sqref="J32:AF32">
    <cfRule type="expression" priority="23" dxfId="1">
      <formula>=AND($D32&lt;&gt;"",$E32&lt;&gt;"",J$6&gt;=$D32,J$6&lt;=$E32)</formula>
    </cfRule>
  </conditionalFormatting>
  <conditionalFormatting sqref="J33:AF33">
    <cfRule type="expression" priority="24" dxfId="1">
      <formula>=AND($D33&lt;&gt;"",$E33&lt;&gt;"",J$6&gt;=$D33,J$6&lt;=$E33)</formula>
    </cfRule>
  </conditionalFormatting>
  <conditionalFormatting sqref="J34:AF34">
    <cfRule type="expression" priority="25" dxfId="1">
      <formula>=AND($D34&lt;&gt;"",$E34&lt;&gt;"",J$6&gt;=$D34,J$6&lt;=$E34)</formula>
    </cfRule>
  </conditionalFormatting>
  <conditionalFormatting sqref="J35:AF35">
    <cfRule type="expression" priority="26" dxfId="1">
      <formula>=AND($D35&lt;&gt;"",$E35&lt;&gt;"",J$6&gt;=$D35,J$6&lt;=$E35)</formula>
    </cfRule>
  </conditionalFormatting>
  <conditionalFormatting sqref="J36:AF36">
    <cfRule type="expression" priority="27" dxfId="1">
      <formula>=AND($D36&lt;&gt;"",$E36&lt;&gt;"",J$6&gt;=$D36,J$6&lt;=$E36)</formula>
    </cfRule>
  </conditionalFormatting>
  <conditionalFormatting sqref="J37:AF37">
    <cfRule type="expression" priority="28" dxfId="1">
      <formula>=AND($D37&lt;&gt;"",$E37&lt;&gt;"",J$6&gt;=$D37,J$6&lt;=$E37)</formula>
    </cfRule>
  </conditionalFormatting>
  <conditionalFormatting sqref="J38:AF38">
    <cfRule type="expression" priority="29" dxfId="1">
      <formula>=AND($D38&lt;&gt;"",$E38&lt;&gt;"",J$6&gt;=$D38,J$6&lt;=$E38)</formula>
    </cfRule>
  </conditionalFormatting>
  <conditionalFormatting sqref="J39:AF39">
    <cfRule type="expression" priority="30" dxfId="1">
      <formula>=AND($D39&lt;&gt;"",$E39&lt;&gt;"",J$6&gt;=$D39,J$6&lt;=$E39)</formula>
    </cfRule>
  </conditionalFormatting>
  <conditionalFormatting sqref="J40:AF40">
    <cfRule type="expression" priority="31" dxfId="2">
      <formula>=AND($D40&lt;&gt;"",$E40&lt;&gt;"",J$6&gt;=$D40,J$6&lt;=$E40)</formula>
    </cfRule>
  </conditionalFormatting>
  <conditionalFormatting sqref="J41:AF41">
    <cfRule type="expression" priority="32" dxfId="3">
      <formula>=AND($D41&lt;&gt;"",$E41&lt;&gt;"",J$6&gt;=$D41,J$6&lt;=$E41)</formula>
    </cfRule>
  </conditionalFormatting>
  <conditionalFormatting sqref="J42:AF42">
    <cfRule type="expression" priority="33" dxfId="3">
      <formula>=AND($D42&lt;&gt;"",$E42&lt;&gt;"",J$6&gt;=$D42,J$6&lt;=$E42)</formula>
    </cfRule>
  </conditionalFormatting>
  <conditionalFormatting sqref="J43:AF43">
    <cfRule type="expression" priority="34" dxfId="3">
      <formula>=AND($D43&lt;&gt;"",$E43&lt;&gt;"",J$6&gt;=$D43,J$6&lt;=$E43)</formula>
    </cfRule>
  </conditionalFormatting>
  <conditionalFormatting sqref="J44:AF44">
    <cfRule type="expression" priority="35" dxfId="3">
      <formula>=AND($D44&lt;&gt;"",$E44&lt;&gt;"",J$6&gt;=$D44,J$6&lt;=$E44)</formula>
    </cfRule>
  </conditionalFormatting>
  <conditionalFormatting sqref="J45:AF45">
    <cfRule type="expression" priority="36" dxfId="3">
      <formula>=AND($D45&lt;&gt;"",$E45&lt;&gt;"",J$6&gt;=$D45,J$6&lt;=$E45)</formula>
    </cfRule>
  </conditionalFormatting>
  <conditionalFormatting sqref="J46:AF46">
    <cfRule type="expression" priority="37" dxfId="3">
      <formula>=AND($D46&lt;&gt;"",$E46&lt;&gt;"",J$6&gt;=$D46,J$6&lt;=$E46)</formula>
    </cfRule>
  </conditionalFormatting>
  <conditionalFormatting sqref="J47:AF47">
    <cfRule type="expression" priority="38" dxfId="3">
      <formula>=AND($D47&lt;&gt;"",$E47&lt;&gt;"",J$6&gt;=$D47,J$6&lt;=$E47)</formula>
    </cfRule>
  </conditionalFormatting>
  <conditionalFormatting sqref="J48:AF48">
    <cfRule type="expression" priority="39" dxfId="3">
      <formula>=AND($D48&lt;&gt;"",$E48&lt;&gt;"",J$6&gt;=$D48,J$6&lt;=$E48)</formula>
    </cfRule>
  </conditionalFormatting>
  <conditionalFormatting sqref="J49:AF49">
    <cfRule type="expression" priority="40" dxfId="3">
      <formula>=AND($D49&lt;&gt;"",$E49&lt;&gt;"",J$6&gt;=$D49,J$6&lt;=$E49)</formula>
    </cfRule>
  </conditionalFormatting>
  <conditionalFormatting sqref="J50:AF50">
    <cfRule type="expression" priority="41" dxfId="3">
      <formula>=AND($D50&lt;&gt;"",$E50&lt;&gt;"",J$6&gt;=$D50,J$6&lt;=$E50)</formula>
    </cfRule>
  </conditionalFormatting>
  <conditionalFormatting sqref="J51:AF51">
    <cfRule type="expression" priority="42" dxfId="3">
      <formula>=AND($D51&lt;&gt;"",$E51&lt;&gt;"",J$6&gt;=$D51,J$6&lt;=$E51)</formula>
    </cfRule>
  </conditionalFormatting>
  <conditionalFormatting sqref="J52:AF52">
    <cfRule type="expression" priority="43" dxfId="3">
      <formula>=AND($D52&lt;&gt;"",$E52&lt;&gt;"",J$6&gt;=$D52,J$6&lt;=$E52)</formula>
    </cfRule>
  </conditionalFormatting>
  <conditionalFormatting sqref="J53:AF53">
    <cfRule type="expression" priority="44" dxfId="3">
      <formula>=AND($D53&lt;&gt;"",$E53&lt;&gt;"",J$6&gt;=$D53,J$6&lt;=$E53)</formula>
    </cfRule>
  </conditionalFormatting>
  <conditionalFormatting sqref="J54:AF54">
    <cfRule type="expression" priority="45" dxfId="3">
      <formula>=AND($D54&lt;&gt;"",$E54&lt;&gt;"",J$6&gt;=$D54,J$6&lt;=$E54)</formula>
    </cfRule>
  </conditionalFormatting>
  <conditionalFormatting sqref="J55:AF55">
    <cfRule type="expression" priority="46" dxfId="3">
      <formula>=AND($D55&lt;&gt;"",$E55&lt;&gt;"",J$6&gt;=$D55,J$6&lt;=$E55)</formula>
    </cfRule>
  </conditionalFormatting>
  <conditionalFormatting sqref="J56:AF56">
    <cfRule type="expression" priority="47" dxfId="3">
      <formula>=AND($D56&lt;&gt;"",$E56&lt;&gt;"",J$6&gt;=$D56,J$6&lt;=$E56)</formula>
    </cfRule>
  </conditionalFormatting>
  <conditionalFormatting sqref="J57:AF57">
    <cfRule type="expression" priority="48" dxfId="4">
      <formula>=AND($D57&lt;&gt;"",$E57&lt;&gt;"",J$6&gt;=$D57,J$6&lt;=$E57)</formula>
    </cfRule>
  </conditionalFormatting>
  <conditionalFormatting sqref="J58:AF58">
    <cfRule type="expression" priority="49" dxfId="4">
      <formula>=AND($D58&lt;&gt;"",$E58&lt;&gt;"",J$6&gt;=$D58,J$6&lt;=$E58)</formula>
    </cfRule>
  </conditionalFormatting>
  <conditionalFormatting sqref="J59:AF59">
    <cfRule type="expression" priority="50" dxfId="4">
      <formula>=AND($D59&lt;&gt;"",$E59&lt;&gt;"",J$6&gt;=$D59,J$6&lt;=$E59)</formula>
    </cfRule>
  </conditionalFormatting>
  <conditionalFormatting sqref="J60:AF60">
    <cfRule type="expression" priority="51" dxfId="4">
      <formula>=AND($D60&lt;&gt;"",$E60&lt;&gt;"",J$6&gt;=$D60,J$6&lt;=$E60)</formula>
    </cfRule>
  </conditionalFormatting>
  <conditionalFormatting sqref="J61:AF61">
    <cfRule type="expression" priority="52" dxfId="4">
      <formula>=AND($D61&lt;&gt;"",$E61&lt;&gt;"",J$6&gt;=$D61,J$6&lt;=$E61)</formula>
    </cfRule>
  </conditionalFormatting>
  <conditionalFormatting sqref="J62:AF62">
    <cfRule type="expression" priority="53" dxfId="4">
      <formula>=AND($D62&lt;&gt;"",$E62&lt;&gt;"",J$6&gt;=$D62,J$6&lt;=$E62)</formula>
    </cfRule>
  </conditionalFormatting>
  <conditionalFormatting sqref="J63:AF63">
    <cfRule type="expression" priority="54" dxfId="4">
      <formula>=AND($D63&lt;&gt;"",$E63&lt;&gt;"",J$6&gt;=$D63,J$6&lt;=$E63)</formula>
    </cfRule>
  </conditionalFormatting>
  <conditionalFormatting sqref="J64:AF64">
    <cfRule type="expression" priority="55" dxfId="4">
      <formula>=AND($D64&lt;&gt;"",$E64&lt;&gt;"",J$6&gt;=$D64,J$6&lt;=$E64)</formula>
    </cfRule>
  </conditionalFormatting>
  <conditionalFormatting sqref="J65:AF65">
    <cfRule type="expression" priority="56" dxfId="4">
      <formula>=AND($D65&lt;&gt;"",$E65&lt;&gt;"",J$6&gt;=$D65,J$6&lt;=$E65)</formula>
    </cfRule>
  </conditionalFormatting>
  <conditionalFormatting sqref="J66:AF66">
    <cfRule type="expression" priority="57" dxfId="4">
      <formula>=AND($D66&lt;&gt;"",$E66&lt;&gt;"",J$6&gt;=$D66,J$6&lt;=$E66)</formula>
    </cfRule>
  </conditionalFormatting>
  <conditionalFormatting sqref="J67:AF67">
    <cfRule type="expression" priority="58" dxfId="4">
      <formula>=AND($D67&lt;&gt;"",$E67&lt;&gt;"",J$6&gt;=$D67,J$6&lt;=$E67)</formula>
    </cfRule>
  </conditionalFormatting>
  <conditionalFormatting sqref="J68:AF68">
    <cfRule type="expression" priority="59" dxfId="4">
      <formula>=AND($D68&lt;&gt;"",$E68&lt;&gt;"",J$6&gt;=$D68,J$6&lt;=$E68)</formula>
    </cfRule>
  </conditionalFormatting>
  <conditionalFormatting sqref="J69:AF69">
    <cfRule type="expression" priority="60" dxfId="4">
      <formula>=AND($D69&lt;&gt;"",$E69&lt;&gt;"",J$6&gt;=$D69,J$6&lt;=$E69)</formula>
    </cfRule>
  </conditionalFormatting>
  <conditionalFormatting sqref="J70:AF70">
    <cfRule type="expression" priority="61" dxfId="4">
      <formula>=AND($D70&lt;&gt;"",$E70&lt;&gt;"",J$6&gt;=$D70,J$6&lt;=$E70)</formula>
    </cfRule>
  </conditionalFormatting>
  <conditionalFormatting sqref="J71:AF71">
    <cfRule type="expression" priority="62" dxfId="4">
      <formula>=AND($D71&lt;&gt;"",$E71&lt;&gt;"",J$6&gt;=$D71,J$6&lt;=$E71)</formula>
    </cfRule>
  </conditionalFormatting>
  <conditionalFormatting sqref="J72:AF72">
    <cfRule type="expression" priority="63" dxfId="4">
      <formula>=AND($D72&lt;&gt;"",$E72&lt;&gt;"",J$6&gt;=$D72,J$6&lt;=$E72)</formula>
    </cfRule>
  </conditionalFormatting>
  <conditionalFormatting sqref="J73:AF73">
    <cfRule type="expression" priority="64" dxfId="4">
      <formula>=AND($D73&lt;&gt;"",$E73&lt;&gt;"",J$6&gt;=$D73,J$6&lt;=$E73)</formula>
    </cfRule>
  </conditionalFormatting>
  <conditionalFormatting sqref="J74:AF74">
    <cfRule type="expression" priority="65" dxfId="4">
      <formula>=AND($D74&lt;&gt;"",$E74&lt;&gt;"",J$6&gt;=$D74,J$6&lt;=$E74)</formula>
    </cfRule>
  </conditionalFormatting>
  <conditionalFormatting sqref="J75:AF75">
    <cfRule type="expression" priority="66" dxfId="4">
      <formula>=AND($D75&lt;&gt;"",$E75&lt;&gt;"",J$6&gt;=$D75,J$6&lt;=$E75)</formula>
    </cfRule>
  </conditionalFormatting>
  <conditionalFormatting sqref="J76:AF76">
    <cfRule type="expression" priority="67" dxfId="4">
      <formula>=AND($D76&lt;&gt;"",$E76&lt;&gt;"",J$6&gt;=$D76,J$6&lt;=$E76)</formula>
    </cfRule>
  </conditionalFormatting>
  <conditionalFormatting sqref="J77:AF77">
    <cfRule type="expression" priority="68" dxfId="4">
      <formula>=AND($D77&lt;&gt;"",$E77&lt;&gt;"",J$6&gt;=$D77,J$6&lt;=$E77)</formula>
    </cfRule>
  </conditionalFormatting>
  <conditionalFormatting sqref="J78:AF78">
    <cfRule type="expression" priority="69" dxfId="4">
      <formula>=AND($D78&lt;&gt;"",$E78&lt;&gt;"",J$6&gt;=$D78,J$6&lt;=$E78)</formula>
    </cfRule>
  </conditionalFormatting>
  <conditionalFormatting sqref="J79:AF79">
    <cfRule type="expression" priority="70" dxfId="4">
      <formula>=AND($D79&lt;&gt;"",$E79&lt;&gt;"",J$6&gt;=$D79,J$6&lt;=$E79)</formula>
    </cfRule>
  </conditionalFormatting>
  <conditionalFormatting sqref="J80:AF80">
    <cfRule type="expression" priority="71" dxfId="4">
      <formula>=AND($D80&lt;&gt;"",$E80&lt;&gt;"",J$6&gt;=$D80,J$6&lt;=$E80)</formula>
    </cfRule>
  </conditionalFormatting>
  <conditionalFormatting sqref="J81:AF81">
    <cfRule type="expression" priority="72" dxfId="4">
      <formula>=AND($D81&lt;&gt;"",$E81&lt;&gt;"",J$6&gt;=$D81,J$6&lt;=$E81)</formula>
    </cfRule>
  </conditionalFormatting>
  <conditionalFormatting sqref="J82:AF82">
    <cfRule type="expression" priority="73" dxfId="4">
      <formula>=AND($D82&lt;&gt;"",$E82&lt;&gt;"",J$6&gt;=$D82,J$6&lt;=$E82)</formula>
    </cfRule>
  </conditionalFormatting>
  <conditionalFormatting sqref="J83:AF83">
    <cfRule type="expression" priority="74" dxfId="4">
      <formula>=AND($D83&lt;&gt;"",$E83&lt;&gt;"",J$6&gt;=$D83,J$6&lt;=$E83)</formula>
    </cfRule>
  </conditionalFormatting>
  <conditionalFormatting sqref="J84:AF84">
    <cfRule type="expression" priority="75" dxfId="4">
      <formula>=AND($D84&lt;&gt;"",$E84&lt;&gt;"",J$6&gt;=$D84,J$6&lt;=$E84)</formula>
    </cfRule>
  </conditionalFormatting>
  <conditionalFormatting sqref="J85:AF85">
    <cfRule type="expression" priority="76" dxfId="4">
      <formula>=AND($D85&lt;&gt;"",$E85&lt;&gt;"",J$6&gt;=$D85,J$6&lt;=$E85)</formula>
    </cfRule>
  </conditionalFormatting>
  <conditionalFormatting sqref="J86:AF86">
    <cfRule type="expression" priority="77" dxfId="4">
      <formula>=AND($D86&lt;&gt;"",$E86&lt;&gt;"",J$6&gt;=$D86,J$6&lt;=$E86)</formula>
    </cfRule>
  </conditionalFormatting>
  <conditionalFormatting sqref="J87:AF87">
    <cfRule type="expression" priority="78" dxfId="4">
      <formula>=AND($D87&lt;&gt;"",$E87&lt;&gt;"",J$6&gt;=$D87,J$6&lt;=$E87)</formula>
    </cfRule>
  </conditionalFormatting>
  <conditionalFormatting sqref="J88:AF88">
    <cfRule type="expression" priority="79" dxfId="4">
      <formula>=AND($D88&lt;&gt;"",$E88&lt;&gt;"",J$6&gt;=$D88,J$6&lt;=$E88)</formula>
    </cfRule>
  </conditionalFormatting>
  <conditionalFormatting sqref="J89:AF89">
    <cfRule type="expression" priority="80" dxfId="4">
      <formula>=AND($D89&lt;&gt;"",$E89&lt;&gt;"",J$6&gt;=$D89,J$6&lt;=$E89)</formula>
    </cfRule>
  </conditionalFormatting>
  <conditionalFormatting sqref="J90:AF90">
    <cfRule type="expression" priority="81" dxfId="4">
      <formula>=AND($D90&lt;&gt;"",$E90&lt;&gt;"",J$6&gt;=$D90,J$6&lt;=$E90)</formula>
    </cfRule>
  </conditionalFormatting>
  <conditionalFormatting sqref="J91:AF91">
    <cfRule type="expression" priority="82" dxfId="4">
      <formula>=AND($D91&lt;&gt;"",$E91&lt;&gt;"",J$6&gt;=$D91,J$6&lt;=$E91)</formula>
    </cfRule>
  </conditionalFormatting>
  <conditionalFormatting sqref="J92:AF92">
    <cfRule type="expression" priority="83" dxfId="4">
      <formula>=AND($D92&lt;&gt;"",$E92&lt;&gt;"",J$6&gt;=$D92,J$6&lt;=$E92)</formula>
    </cfRule>
  </conditionalFormatting>
  <conditionalFormatting sqref="J93:AF93">
    <cfRule type="expression" priority="84" dxfId="4">
      <formula>=AND($D93&lt;&gt;"",$E93&lt;&gt;"",J$6&gt;=$D93,J$6&lt;=$E93)</formula>
    </cfRule>
  </conditionalFormatting>
  <conditionalFormatting sqref="J94:AF94">
    <cfRule type="expression" priority="85" dxfId="4">
      <formula>=AND($D94&lt;&gt;"",$E94&lt;&gt;"",J$6&gt;=$D94,J$6&lt;=$E94)</formula>
    </cfRule>
  </conditionalFormatting>
  <conditionalFormatting sqref="J95:AF95">
    <cfRule type="expression" priority="86" dxfId="4">
      <formula>=AND($D95&lt;&gt;"",$E95&lt;&gt;"",J$6&gt;=$D95,J$6&lt;=$E95)</formula>
    </cfRule>
  </conditionalFormatting>
  <conditionalFormatting sqref="J96:AF96">
    <cfRule type="expression" priority="87" dxfId="4">
      <formula>=AND($D96&lt;&gt;"",$E96&lt;&gt;"",J$6&gt;=$D96,J$6&lt;=$E96)</formula>
    </cfRule>
  </conditionalFormatting>
  <conditionalFormatting sqref="J97:AF97">
    <cfRule type="expression" priority="88" dxfId="4">
      <formula>=AND($D97&lt;&gt;"",$E97&lt;&gt;"",J$6&gt;=$D97,J$6&lt;=$E97)</formula>
    </cfRule>
  </conditionalFormatting>
  <conditionalFormatting sqref="J98:AF98">
    <cfRule type="expression" priority="89" dxfId="4">
      <formula>=AND($D98&lt;&gt;"",$E98&lt;&gt;"",J$6&gt;=$D98,J$6&lt;=$E98)</formula>
    </cfRule>
  </conditionalFormatting>
  <conditionalFormatting sqref="J99:AF99">
    <cfRule type="expression" priority="90" dxfId="4">
      <formula>=AND($D99&lt;&gt;"",$E99&lt;&gt;"",J$6&gt;=$D99,J$6&lt;=$E99)</formula>
    </cfRule>
  </conditionalFormatting>
  <conditionalFormatting sqref="J100:AF100">
    <cfRule type="expression" priority="91" dxfId="4">
      <formula>=AND($D100&lt;&gt;"",$E100&lt;&gt;"",J$6&gt;=$D100,J$6&lt;=$E100)</formula>
    </cfRule>
  </conditionalFormatting>
  <conditionalFormatting sqref="J101:AF101">
    <cfRule type="expression" priority="92" dxfId="5">
      <formula>=AND($D101&lt;&gt;"",$E101&lt;&gt;"",J$6&gt;=$D101,J$6&lt;=$E101)</formula>
    </cfRule>
  </conditionalFormatting>
  <conditionalFormatting sqref="J102:AF102">
    <cfRule type="expression" priority="93" dxfId="5">
      <formula>=AND($D102&lt;&gt;"",$E102&lt;&gt;"",J$6&gt;=$D102,J$6&lt;=$E102)</formula>
    </cfRule>
  </conditionalFormatting>
  <conditionalFormatting sqref="J103:AF103">
    <cfRule type="expression" priority="94" dxfId="5">
      <formula>=AND($D103&lt;&gt;"",$E103&lt;&gt;"",J$6&gt;=$D103,J$6&lt;=$E103)</formula>
    </cfRule>
  </conditionalFormatting>
  <conditionalFormatting sqref="J104:AF104">
    <cfRule type="expression" priority="95" dxfId="5">
      <formula>=AND($D104&lt;&gt;"",$E104&lt;&gt;"",J$6&gt;=$D104,J$6&lt;=$E104)</formula>
    </cfRule>
  </conditionalFormatting>
  <conditionalFormatting sqref="J105:AF105">
    <cfRule type="expression" priority="96" dxfId="5">
      <formula>=AND($D105&lt;&gt;"",$E105&lt;&gt;"",J$6&gt;=$D105,J$6&lt;=$E105)</formula>
    </cfRule>
  </conditionalFormatting>
  <conditionalFormatting sqref="J106:AF106">
    <cfRule type="expression" priority="97" dxfId="5">
      <formula>=AND($D106&lt;&gt;"",$E106&lt;&gt;"",J$6&gt;=$D106,J$6&lt;=$E106)</formula>
    </cfRule>
  </conditionalFormatting>
  <conditionalFormatting sqref="J107:AF107">
    <cfRule type="expression" priority="98" dxfId="5">
      <formula>=AND($D107&lt;&gt;"",$E107&lt;&gt;"",J$6&gt;=$D107,J$6&lt;=$E107)</formula>
    </cfRule>
  </conditionalFormatting>
  <conditionalFormatting sqref="J108:AF108">
    <cfRule type="expression" priority="99" dxfId="5">
      <formula>=AND($D108&lt;&gt;"",$E108&lt;&gt;"",J$6&gt;=$D108,J$6&lt;=$E108)</formula>
    </cfRule>
  </conditionalFormatting>
  <conditionalFormatting sqref="J109:AF109">
    <cfRule type="expression" priority="100" dxfId="5">
      <formula>=AND($D109&lt;&gt;"",$E109&lt;&gt;"",J$6&gt;=$D109,J$6&lt;=$E109)</formula>
    </cfRule>
  </conditionalFormatting>
  <conditionalFormatting sqref="J110:AF110">
    <cfRule type="expression" priority="101" dxfId="5">
      <formula>=AND($D110&lt;&gt;"",$E110&lt;&gt;"",J$6&gt;=$D110,J$6&lt;=$E110)</formula>
    </cfRule>
  </conditionalFormatting>
  <conditionalFormatting sqref="J111:AF111">
    <cfRule type="expression" priority="102" dxfId="5">
      <formula>=AND($D111&lt;&gt;"",$E111&lt;&gt;"",J$6&gt;=$D111,J$6&lt;=$E111)</formula>
    </cfRule>
  </conditionalFormatting>
  <conditionalFormatting sqref="J112:AF112">
    <cfRule type="expression" priority="103" dxfId="5">
      <formula>=AND($D112&lt;&gt;"",$E112&lt;&gt;"",J$6&gt;=$D112,J$6&lt;=$E112)</formula>
    </cfRule>
  </conditionalFormatting>
  <conditionalFormatting sqref="J113:AF113">
    <cfRule type="expression" priority="104" dxfId="5">
      <formula>=AND($D113&lt;&gt;"",$E113&lt;&gt;"",J$6&gt;=$D113,J$6&lt;=$E113)</formula>
    </cfRule>
  </conditionalFormatting>
  <conditionalFormatting sqref="J114:AF114">
    <cfRule type="expression" priority="105" dxfId="5">
      <formula>=AND($D114&lt;&gt;"",$E114&lt;&gt;"",J$6&gt;=$D114,J$6&lt;=$E114)</formula>
    </cfRule>
  </conditionalFormatting>
  <conditionalFormatting sqref="J115:AF115">
    <cfRule type="expression" priority="106" dxfId="5">
      <formula>=AND($D115&lt;&gt;"",$E115&lt;&gt;"",J$6&gt;=$D115,J$6&lt;=$E115)</formula>
    </cfRule>
  </conditionalFormatting>
  <conditionalFormatting sqref="J116:AF116">
    <cfRule type="expression" priority="107" dxfId="5">
      <formula>=AND($D116&lt;&gt;"",$E116&lt;&gt;"",J$6&gt;=$D116,J$6&lt;=$E116)</formula>
    </cfRule>
  </conditionalFormatting>
  <conditionalFormatting sqref="J117:AF117">
    <cfRule type="expression" priority="108" dxfId="2">
      <formula>=AND($D117&lt;&gt;"",$E117&lt;&gt;"",J$6&gt;=$D117,J$6&lt;=$E117)</formula>
    </cfRule>
  </conditionalFormatting>
  <conditionalFormatting sqref="J118:AF118">
    <cfRule type="expression" priority="109" dxfId="6">
      <formula>=AND($D118&lt;&gt;"",$E118&lt;&gt;"",J$6&gt;=$D118,J$6&lt;=$E118)</formula>
    </cfRule>
  </conditionalFormatting>
  <conditionalFormatting sqref="J119:AF119">
    <cfRule type="expression" priority="110" dxfId="6">
      <formula>=AND($D119&lt;&gt;"",$E119&lt;&gt;"",J$6&gt;=$D119,J$6&lt;=$E119)</formula>
    </cfRule>
  </conditionalFormatting>
  <conditionalFormatting sqref="J120:AF120">
    <cfRule type="expression" priority="111" dxfId="6">
      <formula>=AND($D120&lt;&gt;"",$E120&lt;&gt;"",J$6&gt;=$D120,J$6&lt;=$E120)</formula>
    </cfRule>
  </conditionalFormatting>
  <conditionalFormatting sqref="J121:AF121">
    <cfRule type="expression" priority="112" dxfId="6">
      <formula>=AND($D121&lt;&gt;"",$E121&lt;&gt;"",J$6&gt;=$D121,J$6&lt;=$E121)</formula>
    </cfRule>
  </conditionalFormatting>
  <conditionalFormatting sqref="J122:AF122">
    <cfRule type="expression" priority="113" dxfId="6">
      <formula>=AND($D122&lt;&gt;"",$E122&lt;&gt;"",J$6&gt;=$D122,J$6&lt;=$E122)</formula>
    </cfRule>
  </conditionalFormatting>
  <conditionalFormatting sqref="J123:AF123">
    <cfRule type="expression" priority="114" dxfId="6">
      <formula>=AND($D123&lt;&gt;"",$E123&lt;&gt;"",J$6&gt;=$D123,J$6&lt;=$E123)</formula>
    </cfRule>
  </conditionalFormatting>
  <conditionalFormatting sqref="J124:AF124">
    <cfRule type="expression" priority="115" dxfId="6">
      <formula>=AND($D124&lt;&gt;"",$E124&lt;&gt;"",J$6&gt;=$D124,J$6&lt;=$E124)</formula>
    </cfRule>
  </conditionalFormatting>
  <conditionalFormatting sqref="J125:AF125">
    <cfRule type="expression" priority="116" dxfId="6">
      <formula>=AND($D125&lt;&gt;"",$E125&lt;&gt;"",J$6&gt;=$D125,J$6&lt;=$E125)</formula>
    </cfRule>
  </conditionalFormatting>
  <conditionalFormatting sqref="J126:AF126">
    <cfRule type="expression" priority="117" dxfId="6">
      <formula>=AND($D126&lt;&gt;"",$E126&lt;&gt;"",J$6&gt;=$D126,J$6&lt;=$E126)</formula>
    </cfRule>
  </conditionalFormatting>
  <conditionalFormatting sqref="J127:AF127">
    <cfRule type="expression" priority="118" dxfId="6">
      <formula>=AND($D127&lt;&gt;"",$E127&lt;&gt;"",J$6&gt;=$D127,J$6&lt;=$E127)</formula>
    </cfRule>
  </conditionalFormatting>
  <conditionalFormatting sqref="J128:AF128">
    <cfRule type="expression" priority="119" dxfId="6">
      <formula>=AND($D128&lt;&gt;"",$E128&lt;&gt;"",J$6&gt;=$D128,J$6&lt;=$E128)</formula>
    </cfRule>
  </conditionalFormatting>
  <conditionalFormatting sqref="J129:AF129">
    <cfRule type="expression" priority="120" dxfId="6">
      <formula>=AND($D129&lt;&gt;"",$E129&lt;&gt;"",J$6&gt;=$D129,J$6&lt;=$E129)</formula>
    </cfRule>
  </conditionalFormatting>
  <conditionalFormatting sqref="J130:AF130">
    <cfRule type="expression" priority="121" dxfId="2">
      <formula>=AND($D130&lt;&gt;"",$E130&lt;&gt;"",J$6&gt;=$D130,J$6&lt;=$E130)</formula>
    </cfRule>
  </conditionalFormatting>
  <conditionalFormatting sqref="J131:AF131">
    <cfRule type="expression" priority="122" dxfId="2">
      <formula>=AND($D131&lt;&gt;"",$E131&lt;&gt;"",J$6&gt;=$D131,J$6&lt;=$E131)</formula>
    </cfRule>
  </conditionalFormatting>
  <conditionalFormatting sqref="J132:AF132">
    <cfRule type="expression" priority="123" dxfId="2">
      <formula>=AND($D132&lt;&gt;"",$E132&lt;&gt;"",J$6&gt;=$D132,J$6&lt;=$E132)</formula>
    </cfRule>
  </conditionalFormatting>
  <conditionalFormatting sqref="J133:AF133">
    <cfRule type="expression" priority="124" dxfId="2">
      <formula>=AND($D133&lt;&gt;"",$E133&lt;&gt;"",J$6&gt;=$D133,J$6&lt;=$E133)</formula>
    </cfRule>
  </conditionalFormatting>
  <conditionalFormatting sqref="J134:AF134">
    <cfRule type="expression" priority="125" dxfId="2">
      <formula>=AND($D134&lt;&gt;"",$E134&lt;&gt;"",J$6&gt;=$D134,J$6&lt;=$E134)</formula>
    </cfRule>
  </conditionalFormatting>
  <conditionalFormatting sqref="J135:AF135">
    <cfRule type="expression" priority="126" dxfId="2">
      <formula>=AND($D135&lt;&gt;"",$E135&lt;&gt;"",J$6&gt;=$D135,J$6&lt;=$E135)</formula>
    </cfRule>
  </conditionalFormatting>
  <conditionalFormatting sqref="J136:AF136">
    <cfRule type="expression" priority="127" dxfId="2">
      <formula>=AND($D136&lt;&gt;"",$E136&lt;&gt;"",J$6&gt;=$D136,J$6&lt;=$E136)</formula>
    </cfRule>
  </conditionalFormatting>
  <conditionalFormatting sqref="J137:AF137">
    <cfRule type="expression" priority="128" dxfId="2">
      <formula>=AND($D137&lt;&gt;"",$E137&lt;&gt;"",J$6&gt;=$D137,J$6&lt;=$E137)</formula>
    </cfRule>
  </conditionalFormatting>
  <conditionalFormatting sqref="J138:AF138">
    <cfRule type="expression" priority="129" dxfId="2">
      <formula>=AND($D138&lt;&gt;"",$E138&lt;&gt;"",J$6&gt;=$D138,J$6&lt;=$E138)</formula>
    </cfRule>
  </conditionalFormatting>
  <conditionalFormatting sqref="J139:AF139">
    <cfRule type="expression" priority="130" dxfId="2">
      <formula>=AND($D139&lt;&gt;"",$E139&lt;&gt;"",J$6&gt;=$D139,J$6&lt;=$E139)</formula>
    </cfRule>
  </conditionalFormatting>
  <conditionalFormatting sqref="J140:AF140">
    <cfRule type="expression" priority="131" dxfId="2">
      <formula>=AND($D140&lt;&gt;"",$E140&lt;&gt;"",J$6&gt;=$D140,J$6&lt;=$E140)</formula>
    </cfRule>
  </conditionalFormatting>
  <conditionalFormatting sqref="J141:AF141">
    <cfRule type="expression" priority="132" dxfId="2">
      <formula>=AND($D141&lt;&gt;"",$E141&lt;&gt;"",J$6&gt;=$D141,J$6&lt;=$E141)</formula>
    </cfRule>
  </conditionalFormatting>
  <conditionalFormatting sqref="J142:AF142">
    <cfRule type="expression" priority="133" dxfId="2">
      <formula>=AND($D142&lt;&gt;"",$E142&lt;&gt;"",J$6&gt;=$D142,J$6&lt;=$E142)</formula>
    </cfRule>
  </conditionalFormatting>
  <conditionalFormatting sqref="J143:AF143">
    <cfRule type="expression" priority="134" dxfId="2">
      <formula>=AND($D143&lt;&gt;"",$E143&lt;&gt;"",J$6&gt;=$D143,J$6&lt;=$E143)</formula>
    </cfRule>
  </conditionalFormatting>
  <conditionalFormatting sqref="J144:AF144">
    <cfRule type="expression" priority="135" dxfId="2">
      <formula>=AND($D144&lt;&gt;"",$E144&lt;&gt;"",J$6&gt;=$D144,J$6&lt;=$E144)</formula>
    </cfRule>
  </conditionalFormatting>
  <conditionalFormatting sqref="J145:AF145">
    <cfRule type="expression" priority="136" dxfId="2">
      <formula>=AND($D145&lt;&gt;"",$E145&lt;&gt;"",J$6&gt;=$D145,J$6&lt;=$E145)</formula>
    </cfRule>
  </conditionalFormatting>
  <conditionalFormatting sqref="J146:AF146">
    <cfRule type="expression" priority="137" dxfId="7">
      <formula>=AND($D146&lt;&gt;"",$E146&lt;&gt;"",J$6&gt;=$D146,J$6&lt;=$E146)</formula>
    </cfRule>
  </conditionalFormatting>
  <conditionalFormatting sqref="J147:AF147">
    <cfRule type="expression" priority="138" dxfId="7">
      <formula>=AND($D147&lt;&gt;"",$E147&lt;&gt;"",J$6&gt;=$D147,J$6&lt;=$E147)</formula>
    </cfRule>
  </conditionalFormatting>
  <conditionalFormatting sqref="J148:AF148">
    <cfRule type="expression" priority="139" dxfId="7">
      <formula>=AND($D148&lt;&gt;"",$E148&lt;&gt;"",J$6&gt;=$D148,J$6&lt;=$E148)</formula>
    </cfRule>
  </conditionalFormatting>
  <conditionalFormatting sqref="J149:AF149">
    <cfRule type="expression" priority="140" dxfId="7">
      <formula>=AND($D149&lt;&gt;"",$E149&lt;&gt;"",J$6&gt;=$D149,J$6&lt;=$E149)</formula>
    </cfRule>
  </conditionalFormatting>
  <conditionalFormatting sqref="J150:AF150">
    <cfRule type="expression" priority="141" dxfId="7">
      <formula>=AND($D150&lt;&gt;"",$E150&lt;&gt;"",J$6&gt;=$D150,J$6&lt;=$E150)</formula>
    </cfRule>
  </conditionalFormatting>
  <conditionalFormatting sqref="J151:AF151">
    <cfRule type="expression" priority="142" dxfId="7">
      <formula>=AND($D151&lt;&gt;"",$E151&lt;&gt;"",J$6&gt;=$D151,J$6&lt;=$E151)</formula>
    </cfRule>
  </conditionalFormatting>
  <conditionalFormatting sqref="J152:AF152">
    <cfRule type="expression" priority="143" dxfId="7">
      <formula>=AND($D152&lt;&gt;"",$E152&lt;&gt;"",J$6&gt;=$D152,J$6&lt;=$E152)</formula>
    </cfRule>
  </conditionalFormatting>
  <conditionalFormatting sqref="J153:AF153">
    <cfRule type="expression" priority="144" dxfId="7">
      <formula>=AND($D153&lt;&gt;"",$E153&lt;&gt;"",J$6&gt;=$D153,J$6&lt;=$E153)</formula>
    </cfRule>
  </conditionalFormatting>
  <conditionalFormatting sqref="J154:AF154">
    <cfRule type="expression" priority="145" dxfId="7">
      <formula>=AND($D154&lt;&gt;"",$E154&lt;&gt;"",J$6&gt;=$D154,J$6&lt;=$E154)</formula>
    </cfRule>
  </conditionalFormatting>
  <conditionalFormatting sqref="J155:AF155">
    <cfRule type="expression" priority="146" dxfId="7">
      <formula>=AND($D155&lt;&gt;"",$E155&lt;&gt;"",J$6&gt;=$D155,J$6&lt;=$E155)</formula>
    </cfRule>
  </conditionalFormatting>
  <conditionalFormatting sqref="J156:AF156">
    <cfRule type="expression" priority="147" dxfId="7">
      <formula>=AND($D156&lt;&gt;"",$E156&lt;&gt;"",J$6&gt;=$D156,J$6&lt;=$E156)</formula>
    </cfRule>
  </conditionalFormatting>
  <conditionalFormatting sqref="J157:AF157">
    <cfRule type="expression" priority="148" dxfId="7">
      <formula>=AND($D157&lt;&gt;"",$E157&lt;&gt;"",J$6&gt;=$D157,J$6&lt;=$E157)</formula>
    </cfRule>
  </conditionalFormatting>
  <conditionalFormatting sqref="J158:AF158">
    <cfRule type="expression" priority="149" dxfId="7">
      <formula>=AND($D158&lt;&gt;"",$E158&lt;&gt;"",J$6&gt;=$D158,J$6&lt;=$E158)</formula>
    </cfRule>
  </conditionalFormatting>
  <conditionalFormatting sqref="J159:AF159">
    <cfRule type="expression" priority="150" dxfId="7">
      <formula>=AND($D159&lt;&gt;"",$E159&lt;&gt;"",J$6&gt;=$D159,J$6&lt;=$E159)</formula>
    </cfRule>
  </conditionalFormatting>
  <conditionalFormatting sqref="J160:AF160">
    <cfRule type="expression" priority="151" dxfId="7">
      <formula>=AND($D160&lt;&gt;"",$E160&lt;&gt;"",J$6&gt;=$D160,J$6&lt;=$E160)</formula>
    </cfRule>
  </conditionalFormatting>
  <conditionalFormatting sqref="J161:AF161">
    <cfRule type="expression" priority="152" dxfId="7">
      <formula>=AND($D161&lt;&gt;"",$E161&lt;&gt;"",J$6&gt;=$D161,J$6&lt;=$E161)</formula>
    </cfRule>
  </conditionalFormatting>
  <conditionalFormatting sqref="J162:AF162">
    <cfRule type="expression" priority="153" dxfId="7">
      <formula>=AND($D162&lt;&gt;"",$E162&lt;&gt;"",J$6&gt;=$D162,J$6&lt;=$E162)</formula>
    </cfRule>
  </conditionalFormatting>
  <conditionalFormatting sqref="J163:AF163">
    <cfRule type="expression" priority="154" dxfId="7">
      <formula>=AND($D163&lt;&gt;"",$E163&lt;&gt;"",J$6&gt;=$D163,J$6&lt;=$E163)</formula>
    </cfRule>
  </conditionalFormatting>
  <conditionalFormatting sqref="J164:AF164">
    <cfRule type="expression" priority="155" dxfId="7">
      <formula>=AND($D164&lt;&gt;"",$E164&lt;&gt;"",J$6&gt;=$D164,J$6&lt;=$E164)</formula>
    </cfRule>
  </conditionalFormatting>
  <conditionalFormatting sqref="J165:AF165">
    <cfRule type="expression" priority="156" dxfId="2">
      <formula>=AND($D165&lt;&gt;"",$E165&lt;&gt;"",J$6&gt;=$D165,J$6&lt;=$E165)</formula>
    </cfRule>
  </conditionalFormatting>
  <conditionalFormatting sqref="J166:AF166">
    <cfRule type="expression" priority="157" dxfId="8">
      <formula>=AND($D166&lt;&gt;"",$E166&lt;&gt;"",J$6&gt;=$D166,J$6&lt;=$E166)</formula>
    </cfRule>
  </conditionalFormatting>
  <conditionalFormatting sqref="J167:AF167">
    <cfRule type="expression" priority="158" dxfId="8">
      <formula>=AND($D167&lt;&gt;"",$E167&lt;&gt;"",J$6&gt;=$D167,J$6&lt;=$E167)</formula>
    </cfRule>
  </conditionalFormatting>
  <conditionalFormatting sqref="J168:AF168">
    <cfRule type="expression" priority="159" dxfId="8">
      <formula>=AND($D168&lt;&gt;"",$E168&lt;&gt;"",J$6&gt;=$D168,J$6&lt;=$E168)</formula>
    </cfRule>
  </conditionalFormatting>
  <conditionalFormatting sqref="J169:AF169">
    <cfRule type="expression" priority="160" dxfId="8">
      <formula>=AND($D169&lt;&gt;"",$E169&lt;&gt;"",J$6&gt;=$D169,J$6&lt;=$E169)</formula>
    </cfRule>
  </conditionalFormatting>
  <conditionalFormatting sqref="J170:AF170">
    <cfRule type="expression" priority="161" dxfId="8">
      <formula>=AND($D170&lt;&gt;"",$E170&lt;&gt;"",J$6&gt;=$D170,J$6&lt;=$E170)</formula>
    </cfRule>
  </conditionalFormatting>
  <conditionalFormatting sqref="J171:AF171">
    <cfRule type="expression" priority="162" dxfId="8">
      <formula>=AND($D171&lt;&gt;"",$E171&lt;&gt;"",J$6&gt;=$D171,J$6&lt;=$E171)</formula>
    </cfRule>
  </conditionalFormatting>
  <conditionalFormatting sqref="J172:AF172">
    <cfRule type="expression" priority="163" dxfId="8">
      <formula>=AND($D172&lt;&gt;"",$E172&lt;&gt;"",J$6&gt;=$D172,J$6&lt;=$E172)</formula>
    </cfRule>
  </conditionalFormatting>
  <conditionalFormatting sqref="J173:AF173">
    <cfRule type="expression" priority="164" dxfId="8">
      <formula>=AND($D173&lt;&gt;"",$E173&lt;&gt;"",J$6&gt;=$D173,J$6&lt;=$E173)</formula>
    </cfRule>
  </conditionalFormatting>
  <conditionalFormatting sqref="J174:AF174">
    <cfRule type="expression" priority="165" dxfId="8">
      <formula>=AND($D174&lt;&gt;"",$E174&lt;&gt;"",J$6&gt;=$D174,J$6&lt;=$E174)</formula>
    </cfRule>
  </conditionalFormatting>
  <conditionalFormatting sqref="J175:AF175">
    <cfRule type="expression" priority="166" dxfId="8">
      <formula>=AND($D175&lt;&gt;"",$E175&lt;&gt;"",J$6&gt;=$D175,J$6&lt;=$E175)</formula>
    </cfRule>
  </conditionalFormatting>
  <conditionalFormatting sqref="J176:AF176">
    <cfRule type="expression" priority="167" dxfId="8">
      <formula>=AND($D176&lt;&gt;"",$E176&lt;&gt;"",J$6&gt;=$D176,J$6&lt;=$E176)</formula>
    </cfRule>
  </conditionalFormatting>
  <conditionalFormatting sqref="J177:AF177">
    <cfRule type="expression" priority="168" dxfId="8">
      <formula>=AND($D177&lt;&gt;"",$E177&lt;&gt;"",J$6&gt;=$D177,J$6&lt;=$E177)</formula>
    </cfRule>
  </conditionalFormatting>
  <pageMargins left="0.75" right="0.75" top="1" bottom="1" header="0.5" footer="0.5"/>
  <pageSetup orientation="landscape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1" customWidth="1" min="4" max="4"/>
    <col width="42" customWidth="1" min="5" max="5"/>
    <col width="18" customWidth="1" min="6" max="6"/>
  </cols>
  <sheetData>
    <row r="1" ht="30" customHeight="1">
      <c r="A1" s="87" t="inlineStr">
        <is>
          <t xml:space="preserve">  MILESTONE GATES, EXIT CRITERIA &amp; RACI MATRIX</t>
        </is>
      </c>
    </row>
    <row r="2" ht="16" customHeight="1">
      <c r="A2" s="153" t="inlineStr">
        <is>
          <t>Milestone</t>
        </is>
      </c>
      <c r="B2" s="153" t="inlineStr">
        <is>
          <t>Description</t>
        </is>
      </c>
      <c r="C2" s="153" t="inlineStr">
        <is>
          <t>Target Date</t>
        </is>
      </c>
      <c r="D2" s="153" t="inlineStr">
        <is>
          <t>Phase</t>
        </is>
      </c>
      <c r="E2" s="153" t="inlineStr">
        <is>
          <t>Exit Criteria</t>
        </is>
      </c>
      <c r="F2" s="153" t="inlineStr">
        <is>
          <t>Owner / Approver</t>
        </is>
      </c>
    </row>
    <row r="3" ht="40" customHeight="1">
      <c r="A3" s="101" t="inlineStr">
        <is>
          <t>▲ Design Gate</t>
        </is>
      </c>
      <c r="B3" s="102" t="inlineStr">
        <is>
          <t>KDDs, RTM, Future-State Architecture, Config Workbook &amp; Instance Strategy approved</t>
        </is>
      </c>
      <c r="C3" s="102" t="inlineStr">
        <is>
          <t>28-Feb-25</t>
        </is>
      </c>
      <c r="D3" s="102" t="inlineStr">
        <is>
          <t>Design &amp; Align</t>
        </is>
      </c>
      <c r="E3" s="102" t="inlineStr">
        <is>
          <t>All KDDs signed off; RTM baselined in tool; Config Workbook v1.0 approved; Instance Management Strategy confirmed; POC sign-off received</t>
        </is>
      </c>
      <c r="F3" s="102" t="inlineStr">
        <is>
          <t>Sponsor / CFO</t>
        </is>
      </c>
    </row>
    <row r="4" ht="40" customHeight="1">
      <c r="A4" s="103" t="inlineStr">
        <is>
          <t>▲ Build Entry</t>
        </is>
      </c>
      <c r="B4" s="104" t="inlineStr">
        <is>
          <t>POC validated; design freeze; sprint backlog baselined and RICE-prioritized</t>
        </is>
      </c>
      <c r="C4" s="104" t="inlineStr">
        <is>
          <t>03-Mar-25</t>
        </is>
      </c>
      <c r="D4" s="104" t="inlineStr">
        <is>
          <t>Build</t>
        </is>
      </c>
      <c r="E4" s="104" t="inlineStr">
        <is>
          <t>POC findings incorporated into design; sprint backlog groomed; environment DEV live; RTM traceability confirmed</t>
        </is>
      </c>
      <c r="F4" s="104" t="inlineStr">
        <is>
          <t>PwC PMO</t>
        </is>
      </c>
    </row>
    <row r="5" ht="40" customHeight="1">
      <c r="A5" s="101" t="inlineStr">
        <is>
          <t>▲ Sprint 1 Complete</t>
        </is>
      </c>
      <c r="B5" s="102" t="inlineStr">
        <is>
          <t>Foundation, environment, std calc rules &amp; position master</t>
        </is>
      </c>
      <c r="C5" s="102" t="inlineStr">
        <is>
          <t>28-Mar-25</t>
        </is>
      </c>
      <c r="D5" s="102" t="inlineStr">
        <is>
          <t>Sprint 1</t>
        </is>
      </c>
      <c r="E5" s="102" t="inlineStr">
        <is>
          <t>5 std rules run error-free; all dims loaded; PROD env provisioned; position master loaded (500+ positions); S1 playback accepted</t>
        </is>
      </c>
      <c r="F5" s="102" t="inlineStr">
        <is>
          <t>Finance / IT</t>
        </is>
      </c>
    </row>
    <row r="6" ht="40" customHeight="1">
      <c r="A6" s="103" t="inlineStr">
        <is>
          <t>▲ Sprint 2 Complete</t>
        </is>
      </c>
      <c r="B6" s="104" t="inlineStr">
        <is>
          <t>Integrations, workflows, historical data loaded</t>
        </is>
      </c>
      <c r="C6" s="104" t="inlineStr">
        <is>
          <t>25-Apr-25</t>
        </is>
      </c>
      <c r="D6" s="104" t="inlineStr">
        <is>
          <t>Sprint 2</t>
        </is>
      </c>
      <c r="E6" s="104" t="inlineStr">
        <is>
          <t>HRIS→EPM live; 3yr actuals reconciled; GL actuals loading; planning calendar functional; S2 playback accepted</t>
        </is>
      </c>
      <c r="F6" s="104" t="inlineStr">
        <is>
          <t>Finance / IT</t>
        </is>
      </c>
    </row>
    <row r="7" ht="40" customHeight="1">
      <c r="A7" s="101" t="inlineStr">
        <is>
          <t>▲ Sprint 3 Complete</t>
        </is>
      </c>
      <c r="B7" s="102" t="inlineStr">
        <is>
          <t>All compensation &amp; HC Groovy calc rules unit-tested</t>
        </is>
      </c>
      <c r="C7" s="102" t="inlineStr">
        <is>
          <t>30-May-25</t>
        </is>
      </c>
      <c r="D7" s="102" t="inlineStr">
        <is>
          <t>Sprint 3</t>
        </is>
      </c>
      <c r="E7" s="102" t="inlineStr">
        <is>
          <t>7 Groovy comp rules unit-tested; comp calc vs HR actuals ±1%; assumption tables complete; S3 playback accepted</t>
        </is>
      </c>
      <c r="F7" s="102" t="inlineStr">
        <is>
          <t>Finance / HR</t>
        </is>
      </c>
    </row>
    <row r="8" ht="40" customHeight="1">
      <c r="A8" s="103" t="inlineStr">
        <is>
          <t>▲ Sprint 4 Complete / SIT Entry</t>
        </is>
      </c>
      <c r="B8" s="104" t="inlineStr">
        <is>
          <t>All build complete; SIT scripts approved; TEST env loaded</t>
        </is>
      </c>
      <c r="C8" s="104" t="inlineStr">
        <is>
          <t>27-Jun-25</t>
        </is>
      </c>
      <c r="D8" s="104" t="inlineStr">
        <is>
          <t>Sprint 4</t>
        </is>
      </c>
      <c r="E8" s="104" t="inlineStr">
        <is>
          <t>20 calc rules complete; all forms/dashboards built; SIT scripts approved; TEST env data reconciled; S4 playback accepted</t>
        </is>
      </c>
      <c r="F8" s="104" t="inlineStr">
        <is>
          <t>PMO / Sponsor</t>
        </is>
      </c>
    </row>
    <row r="9" ht="40" customHeight="1">
      <c r="A9" s="101" t="inlineStr">
        <is>
          <t>▲ SIT Exit</t>
        </is>
      </c>
      <c r="B9" s="102" t="inlineStr">
        <is>
          <t>All 120+ test cases executed; 0 P1 defects open</t>
        </is>
      </c>
      <c r="C9" s="102" t="inlineStr">
        <is>
          <t>18-Jul-25</t>
        </is>
      </c>
      <c r="D9" s="102" t="inlineStr">
        <is>
          <t>SIT</t>
        </is>
      </c>
      <c r="E9" s="102" t="inlineStr">
        <is>
          <t>0 P1 defects open; P2 remediation plan agreed; UAT env data loaded; regression passed; RTM updated</t>
        </is>
      </c>
      <c r="F9" s="102" t="inlineStr">
        <is>
          <t>PwC PMO / Sponsor</t>
        </is>
      </c>
    </row>
    <row r="10" ht="40" customHeight="1">
      <c r="A10" s="103" t="inlineStr">
        <is>
          <t>▲ UAT Sign-Off</t>
        </is>
      </c>
      <c r="B10" s="104" t="inlineStr">
        <is>
          <t>Business-led validation complete; Go-Live authorized</t>
        </is>
      </c>
      <c r="C10" s="104" t="inlineStr">
        <is>
          <t>01-Aug-25</t>
        </is>
      </c>
      <c r="D10" s="104" t="inlineStr">
        <is>
          <t>UAT</t>
        </is>
      </c>
      <c r="E10" s="104" t="inlineStr">
        <is>
          <t>100% UAT scripts executed; 0 P1 open; P2 resolution plan agreed; CFO sign-off obtained; Go-Live checklist approved</t>
        </is>
      </c>
      <c r="F10" s="104" t="inlineStr">
        <is>
          <t>CFO / Sponsor</t>
        </is>
      </c>
    </row>
    <row r="11" ht="40" customHeight="1">
      <c r="A11" s="101" t="inlineStr">
        <is>
          <t>▲ Go-Live</t>
        </is>
      </c>
      <c r="B11" s="102" t="inlineStr">
        <is>
          <t>Oracle EPM WFP &amp; OPEX G&amp;A PRODUCTION live</t>
        </is>
      </c>
      <c r="C11" s="102" t="inlineStr">
        <is>
          <t>20-Aug-25</t>
        </is>
      </c>
      <c r="D11" s="102" t="inlineStr">
        <is>
          <t>Release</t>
        </is>
      </c>
      <c r="E11" s="102" t="inlineStr">
        <is>
          <t>PROD stable; all users active; EPM Automate scheduler running; hypercare war room open; no P1 blocking issues</t>
        </is>
      </c>
      <c r="F11" s="102" t="inlineStr">
        <is>
          <t>Sponsor / CIO / CFO</t>
        </is>
      </c>
    </row>
    <row r="12" ht="40" customHeight="1">
      <c r="A12" s="103" t="inlineStr">
        <is>
          <t>▲ Parallel Run Exit</t>
        </is>
      </c>
      <c r="B12" s="104" t="inlineStr">
        <is>
          <t>Legacy system decommission authorized</t>
        </is>
      </c>
      <c r="C12" s="104" t="inlineStr">
        <is>
          <t>21-Oct-25</t>
        </is>
      </c>
      <c r="D12" s="104" t="inlineStr">
        <is>
          <t>Parallel Run</t>
        </is>
      </c>
      <c r="E12" s="104" t="inlineStr">
        <is>
          <t>8 weekly checkpoint reports complete; 0 unresolved P1 variances; CFO parallel run sign-off; legacy decommission plan approved</t>
        </is>
      </c>
      <c r="F12" s="104" t="inlineStr">
        <is>
          <t>CFO / CIO / Sponsor</t>
        </is>
      </c>
    </row>
    <row r="13" ht="40" customHeight="1">
      <c r="A13" s="101" t="inlineStr">
        <is>
          <t>▲ Steady-State</t>
        </is>
      </c>
      <c r="B13" s="102" t="inlineStr">
        <is>
          <t>Knowledge transferred; AMS transition complete</t>
        </is>
      </c>
      <c r="C13" s="102" t="inlineStr">
        <is>
          <t>07-Nov-25</t>
        </is>
      </c>
      <c r="D13" s="102" t="inlineStr">
        <is>
          <t>Evolve</t>
        </is>
      </c>
      <c r="E13" s="102" t="inlineStr">
        <is>
          <t>Run-books handed over; IT support team trained; Release 1b backlog groomed; PIR complete</t>
        </is>
      </c>
      <c r="F13" s="102" t="inlineStr">
        <is>
          <t>CIO / IT Mgr</t>
        </is>
      </c>
    </row>
    <row r="16" ht="18" customHeight="1">
      <c r="A16" s="105" t="inlineStr">
        <is>
          <t>RACI MATRIX — KEY WORKSTREAMS</t>
        </is>
      </c>
    </row>
    <row r="17" ht="16" customHeight="1">
      <c r="A17" s="106" t="inlineStr">
        <is>
          <t>Workstream</t>
        </is>
      </c>
      <c r="B17" s="106" t="inlineStr">
        <is>
          <t>PwC Lead</t>
        </is>
      </c>
      <c r="C17" s="106" t="inlineStr">
        <is>
          <t>Client Sponsor</t>
        </is>
      </c>
      <c r="D17" s="106" t="inlineStr">
        <is>
          <t>CFO / FP&amp;A</t>
        </is>
      </c>
      <c r="E17" s="106" t="inlineStr">
        <is>
          <t>IT / Infra</t>
        </is>
      </c>
      <c r="F17" s="106" t="inlineStr">
        <is>
          <t>HR / HRBP</t>
        </is>
      </c>
    </row>
    <row r="18" ht="14" customHeight="1">
      <c r="A18" s="107" t="inlineStr">
        <is>
          <t>Design &amp; Align</t>
        </is>
      </c>
      <c r="B18" s="108" t="inlineStr">
        <is>
          <t>R/A</t>
        </is>
      </c>
      <c r="C18" s="109" t="inlineStr">
        <is>
          <t>A</t>
        </is>
      </c>
      <c r="D18" s="110" t="inlineStr">
        <is>
          <t>C</t>
        </is>
      </c>
      <c r="E18" s="111" t="inlineStr">
        <is>
          <t>I</t>
        </is>
      </c>
      <c r="F18" s="110" t="inlineStr">
        <is>
          <t>C</t>
        </is>
      </c>
    </row>
    <row r="19" ht="14" customHeight="1">
      <c r="A19" s="112" t="inlineStr">
        <is>
          <t>POC Build &amp; Validation</t>
        </is>
      </c>
      <c r="B19" s="108" t="inlineStr">
        <is>
          <t>R/A</t>
        </is>
      </c>
      <c r="C19" s="110" t="inlineStr">
        <is>
          <t>C</t>
        </is>
      </c>
      <c r="D19" s="110" t="inlineStr">
        <is>
          <t>C</t>
        </is>
      </c>
      <c r="E19" s="111" t="inlineStr">
        <is>
          <t>I</t>
        </is>
      </c>
      <c r="F19" s="111" t="inlineStr">
        <is>
          <t>I</t>
        </is>
      </c>
    </row>
    <row r="20" ht="14" customHeight="1">
      <c r="A20" s="107" t="inlineStr">
        <is>
          <t>Sprint 1: Env &amp; Foundation</t>
        </is>
      </c>
      <c r="B20" s="113" t="inlineStr">
        <is>
          <t>R</t>
        </is>
      </c>
      <c r="C20" s="111" t="inlineStr">
        <is>
          <t>I</t>
        </is>
      </c>
      <c r="D20" s="111" t="inlineStr">
        <is>
          <t>I</t>
        </is>
      </c>
      <c r="E20" s="108" t="inlineStr">
        <is>
          <t>A/R</t>
        </is>
      </c>
      <c r="F20" s="111" t="inlineStr">
        <is>
          <t>I</t>
        </is>
      </c>
    </row>
    <row r="21" ht="14" customHeight="1">
      <c r="A21" s="112" t="inlineStr">
        <is>
          <t>Sprint 2: Workflows &amp; Integration</t>
        </is>
      </c>
      <c r="B21" s="113" t="inlineStr">
        <is>
          <t>R</t>
        </is>
      </c>
      <c r="C21" s="109" t="inlineStr">
        <is>
          <t>A</t>
        </is>
      </c>
      <c r="D21" s="110" t="inlineStr">
        <is>
          <t>C</t>
        </is>
      </c>
      <c r="E21" s="108" t="inlineStr">
        <is>
          <t>A/R</t>
        </is>
      </c>
      <c r="F21" s="110" t="inlineStr">
        <is>
          <t>C</t>
        </is>
      </c>
    </row>
    <row r="22" ht="14" customHeight="1">
      <c r="A22" s="107" t="inlineStr">
        <is>
          <t>Sprint 3: Groovy Calc Rules</t>
        </is>
      </c>
      <c r="B22" s="108" t="inlineStr">
        <is>
          <t>R/A</t>
        </is>
      </c>
      <c r="C22" s="111" t="inlineStr">
        <is>
          <t>I</t>
        </is>
      </c>
      <c r="D22" s="110" t="inlineStr">
        <is>
          <t>C</t>
        </is>
      </c>
      <c r="E22" s="111" t="inlineStr">
        <is>
          <t>I</t>
        </is>
      </c>
      <c r="F22" s="111" t="inlineStr">
        <is>
          <t>I</t>
        </is>
      </c>
    </row>
    <row r="23" ht="14" customHeight="1">
      <c r="A23" s="112" t="inlineStr">
        <is>
          <t>Sprint 4: Reporting &amp; SIT Prep</t>
        </is>
      </c>
      <c r="B23" s="113" t="inlineStr">
        <is>
          <t>R</t>
        </is>
      </c>
      <c r="C23" s="110" t="inlineStr">
        <is>
          <t>C</t>
        </is>
      </c>
      <c r="D23" s="109" t="inlineStr">
        <is>
          <t>A</t>
        </is>
      </c>
      <c r="E23" s="110" t="inlineStr">
        <is>
          <t>C</t>
        </is>
      </c>
      <c r="F23" s="111" t="inlineStr">
        <is>
          <t>I</t>
        </is>
      </c>
    </row>
    <row r="24" ht="14" customHeight="1">
      <c r="A24" s="107" t="inlineStr">
        <is>
          <t>SIT Execution</t>
        </is>
      </c>
      <c r="B24" s="108" t="inlineStr">
        <is>
          <t>R/A</t>
        </is>
      </c>
      <c r="C24" s="111" t="inlineStr">
        <is>
          <t>I</t>
        </is>
      </c>
      <c r="D24" s="110" t="inlineStr">
        <is>
          <t>C</t>
        </is>
      </c>
      <c r="E24" s="110" t="inlineStr">
        <is>
          <t>C</t>
        </is>
      </c>
      <c r="F24" s="111" t="inlineStr">
        <is>
          <t>I</t>
        </is>
      </c>
    </row>
    <row r="25" ht="14" customHeight="1">
      <c r="A25" s="112" t="inlineStr">
        <is>
          <t>UAT Execution</t>
        </is>
      </c>
      <c r="B25" s="110" t="inlineStr">
        <is>
          <t>C</t>
        </is>
      </c>
      <c r="C25" s="109" t="inlineStr">
        <is>
          <t>A</t>
        </is>
      </c>
      <c r="D25" s="113" t="inlineStr">
        <is>
          <t>R</t>
        </is>
      </c>
      <c r="E25" s="110" t="inlineStr">
        <is>
          <t>C</t>
        </is>
      </c>
      <c r="F25" s="113" t="inlineStr">
        <is>
          <t>R</t>
        </is>
      </c>
    </row>
    <row r="26" ht="14" customHeight="1">
      <c r="A26" s="107" t="inlineStr">
        <is>
          <t>Training &amp; OCM</t>
        </is>
      </c>
      <c r="B26" s="113" t="inlineStr">
        <is>
          <t>R</t>
        </is>
      </c>
      <c r="C26" s="110" t="inlineStr">
        <is>
          <t>C</t>
        </is>
      </c>
      <c r="D26" s="109" t="inlineStr">
        <is>
          <t>A</t>
        </is>
      </c>
      <c r="E26" s="111" t="inlineStr">
        <is>
          <t>I</t>
        </is>
      </c>
      <c r="F26" s="110" t="inlineStr">
        <is>
          <t>C</t>
        </is>
      </c>
    </row>
    <row r="27" ht="14" customHeight="1">
      <c r="A27" s="112" t="inlineStr">
        <is>
          <t>Cutover &amp; Go-Live</t>
        </is>
      </c>
      <c r="B27" s="113" t="inlineStr">
        <is>
          <t>R</t>
        </is>
      </c>
      <c r="C27" s="109" t="inlineStr">
        <is>
          <t>A</t>
        </is>
      </c>
      <c r="D27" s="110" t="inlineStr">
        <is>
          <t>C</t>
        </is>
      </c>
      <c r="E27" s="113" t="inlineStr">
        <is>
          <t>R</t>
        </is>
      </c>
      <c r="F27" s="110" t="inlineStr">
        <is>
          <t>C</t>
        </is>
      </c>
    </row>
    <row r="28" ht="14" customHeight="1">
      <c r="A28" s="107" t="inlineStr">
        <is>
          <t>Parallel Run Execution</t>
        </is>
      </c>
      <c r="B28" s="113" t="inlineStr">
        <is>
          <t>R</t>
        </is>
      </c>
      <c r="C28" s="109" t="inlineStr">
        <is>
          <t>A</t>
        </is>
      </c>
      <c r="D28" s="113" t="inlineStr">
        <is>
          <t>R</t>
        </is>
      </c>
      <c r="E28" s="110" t="inlineStr">
        <is>
          <t>C</t>
        </is>
      </c>
      <c r="F28" s="111" t="inlineStr">
        <is>
          <t>I</t>
        </is>
      </c>
    </row>
    <row r="29" ht="14" customHeight="1">
      <c r="A29" s="112" t="inlineStr">
        <is>
          <t>Parallel Run Governance</t>
        </is>
      </c>
      <c r="B29" s="110" t="inlineStr">
        <is>
          <t>C</t>
        </is>
      </c>
      <c r="C29" s="109" t="inlineStr">
        <is>
          <t>A</t>
        </is>
      </c>
      <c r="D29" s="108" t="inlineStr">
        <is>
          <t>A/R</t>
        </is>
      </c>
      <c r="E29" s="111" t="inlineStr">
        <is>
          <t>I</t>
        </is>
      </c>
      <c r="F29" s="111" t="inlineStr">
        <is>
          <t>I</t>
        </is>
      </c>
    </row>
    <row r="30" ht="14" customHeight="1">
      <c r="A30" s="107" t="inlineStr">
        <is>
          <t>Evolve / Hypercare Support</t>
        </is>
      </c>
      <c r="B30" s="108" t="inlineStr">
        <is>
          <t>R/A</t>
        </is>
      </c>
      <c r="C30" s="111" t="inlineStr">
        <is>
          <t>I</t>
        </is>
      </c>
      <c r="D30" s="111" t="inlineStr">
        <is>
          <t>I</t>
        </is>
      </c>
      <c r="E30" s="110" t="inlineStr">
        <is>
          <t>C</t>
        </is>
      </c>
      <c r="F30" s="111" t="inlineStr">
        <is>
          <t>I</t>
        </is>
      </c>
    </row>
    <row r="31" ht="14" customHeight="1">
      <c r="A31" s="112" t="inlineStr">
        <is>
          <t>Knowledge Transfer to IT</t>
        </is>
      </c>
      <c r="B31" s="113" t="inlineStr">
        <is>
          <t>R → C</t>
        </is>
      </c>
      <c r="C31" s="111" t="inlineStr">
        <is>
          <t>I</t>
        </is>
      </c>
      <c r="D31" s="111" t="inlineStr">
        <is>
          <t>I</t>
        </is>
      </c>
      <c r="E31" s="108" t="inlineStr">
        <is>
          <t>A/R</t>
        </is>
      </c>
      <c r="F31" s="111" t="inlineStr">
        <is>
          <t>I</t>
        </is>
      </c>
    </row>
    <row r="32" ht="14" customHeight="1">
      <c r="A32" s="107" t="inlineStr">
        <is>
          <t>Release 1b Scoping</t>
        </is>
      </c>
      <c r="B32" s="113" t="inlineStr">
        <is>
          <t>R</t>
        </is>
      </c>
      <c r="C32" s="110" t="inlineStr">
        <is>
          <t>C</t>
        </is>
      </c>
      <c r="D32" s="109" t="inlineStr">
        <is>
          <t>A</t>
        </is>
      </c>
      <c r="E32" s="110" t="inlineStr">
        <is>
          <t>C</t>
        </is>
      </c>
      <c r="F32" s="111" t="inlineStr">
        <is>
          <t>I</t>
        </is>
      </c>
    </row>
    <row r="34">
      <c r="A34" s="114" t="inlineStr">
        <is>
          <t>R = Responsible  |  A = Accountable  |  C = Consulted  |  I = Informed  |  R/A = Responsible &amp; Accountable</t>
        </is>
      </c>
    </row>
  </sheetData>
  <mergeCells count="3">
    <mergeCell ref="A16:F16"/>
    <mergeCell ref="A1:F1"/>
    <mergeCell ref="A34:F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0"/>
  <sheetViews>
    <sheetView showGridLines="0"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10" customWidth="1" min="4" max="4"/>
    <col width="10" customWidth="1" min="5" max="5"/>
    <col width="10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</cols>
  <sheetData>
    <row r="1" ht="34" customHeight="1">
      <c r="A1" s="130" t="inlineStr">
        <is>
          <t xml:space="preserve">  ORACLE EPM WFP — PARALLEL RUN DETAILED PLAN  |  Aug 21 – Oct 21, 2025  |  9-Week Execution</t>
        </is>
      </c>
    </row>
    <row r="2" ht="14" customHeight="1">
      <c r="A2" s="131" t="inlineStr">
        <is>
          <t xml:space="preserve">  Objective: Validate EPM Cloud outputs vs legacy systems — financial accuracy, calc consistency, reporting parity — prior to full legacy decommissioning  |  Regulated environment: all variances documented and audit-defensible</t>
        </is>
      </c>
    </row>
    <row r="3" ht="14" customHeight="1">
      <c r="A3" s="17" t="inlineStr">
        <is>
          <t xml:space="preserve">  WEEK-BY-WEEK EXECUTION TRACKER  (Edit Start/End → bars auto-update)</t>
        </is>
      </c>
      <c r="G3" s="132" t="inlineStr">
        <is>
          <t>Aug 2025</t>
        </is>
      </c>
      <c r="I3" s="132" t="inlineStr">
        <is>
          <t>Sep 2025</t>
        </is>
      </c>
      <c r="N3" s="132" t="inlineStr">
        <is>
          <t>Oct 2025</t>
        </is>
      </c>
    </row>
    <row r="4" ht="13" customHeight="1">
      <c r="A4" s="21" t="inlineStr">
        <is>
          <t xml:space="preserve">  Week labels (used by formula)</t>
        </is>
      </c>
      <c r="G4" s="133" t="n">
        <v>45887</v>
      </c>
      <c r="H4" s="133" t="n">
        <v>45894</v>
      </c>
      <c r="I4" s="133" t="n">
        <v>45901</v>
      </c>
      <c r="J4" s="133" t="n">
        <v>45908</v>
      </c>
      <c r="K4" s="133" t="n">
        <v>45915</v>
      </c>
      <c r="L4" s="133" t="n">
        <v>45922</v>
      </c>
      <c r="M4" s="133" t="n">
        <v>45929</v>
      </c>
      <c r="N4" s="133" t="n">
        <v>45936</v>
      </c>
      <c r="O4" s="133" t="n">
        <v>45943</v>
      </c>
      <c r="P4" s="133" t="n">
        <v>45950</v>
      </c>
    </row>
    <row r="5" ht="18" customHeight="1">
      <c r="A5" s="134" t="inlineStr">
        <is>
          <t>#</t>
        </is>
      </c>
      <c r="B5" s="134" t="inlineStr">
        <is>
          <t>Activity / Deliverable</t>
        </is>
      </c>
      <c r="C5" s="134" t="inlineStr">
        <is>
          <t>Owner / DRI</t>
        </is>
      </c>
      <c r="D5" s="134" t="inlineStr">
        <is>
          <t>Start</t>
        </is>
      </c>
      <c r="E5" s="134" t="inlineStr">
        <is>
          <t>End</t>
        </is>
      </c>
      <c r="F5" s="134" t="inlineStr">
        <is>
          <t>Status</t>
        </is>
      </c>
      <c r="G5" s="135" t="inlineStr">
        <is>
          <t>W1</t>
        </is>
      </c>
      <c r="H5" s="135" t="inlineStr">
        <is>
          <t>W2</t>
        </is>
      </c>
      <c r="I5" s="135" t="inlineStr">
        <is>
          <t>W3</t>
        </is>
      </c>
      <c r="J5" s="135" t="inlineStr">
        <is>
          <t>W4</t>
        </is>
      </c>
      <c r="K5" s="135" t="inlineStr">
        <is>
          <t>W5</t>
        </is>
      </c>
      <c r="L5" s="135" t="inlineStr">
        <is>
          <t>W6</t>
        </is>
      </c>
      <c r="M5" s="135" t="inlineStr">
        <is>
          <t>W7</t>
        </is>
      </c>
      <c r="N5" s="135" t="inlineStr">
        <is>
          <t>W8</t>
        </is>
      </c>
      <c r="O5" s="135" t="inlineStr">
        <is>
          <t>W9</t>
        </is>
      </c>
      <c r="P5" s="135" t="inlineStr">
        <is>
          <t>W10</t>
        </is>
      </c>
    </row>
    <row r="6" ht="19" customHeight="1">
      <c r="A6" s="136" t="inlineStr">
        <is>
          <t xml:space="preserve">  PRE-PARALLEL RUN SETUP  (Aug 18–20, 2025)  —  Cutover + Governance Activation</t>
        </is>
      </c>
    </row>
    <row r="7" ht="14" customHeight="1">
      <c r="A7" s="137" t="n">
        <v>1</v>
      </c>
      <c r="B7" s="138" t="inlineStr">
        <is>
          <t>Parallel Run Governance Framework Activation</t>
        </is>
      </c>
      <c r="C7" s="139" t="inlineStr">
        <is>
          <t>PwC PMO</t>
        </is>
      </c>
      <c r="D7" s="200" t="n">
        <v>45887</v>
      </c>
      <c r="E7" s="200" t="n">
        <v>45889</v>
      </c>
      <c r="F7" s="141" t="inlineStr">
        <is>
          <t>Planned</t>
        </is>
      </c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</row>
    <row r="8" ht="14" customHeight="1">
      <c r="A8" s="142" t="n">
        <v>2</v>
      </c>
      <c r="B8" s="143" t="inlineStr">
        <is>
          <t xml:space="preserve">         Parallel Run Plan v1.0 — distributed to all stakeholders</t>
        </is>
      </c>
      <c r="C8" s="144" t="inlineStr">
        <is>
          <t>PwC PMO</t>
        </is>
      </c>
      <c r="D8" s="201" t="n">
        <v>45887</v>
      </c>
      <c r="E8" s="201" t="n">
        <v>45887</v>
      </c>
      <c r="F8" s="141" t="inlineStr">
        <is>
          <t>Planned</t>
        </is>
      </c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</row>
    <row r="9" ht="14" customHeight="1">
      <c r="A9" s="137" t="n">
        <v>3</v>
      </c>
      <c r="B9" s="146" t="inlineStr">
        <is>
          <t xml:space="preserve">         Variance tolerance thresholds confirmed in writing (CFO sign-off)</t>
        </is>
      </c>
      <c r="C9" s="139" t="inlineStr">
        <is>
          <t>CFO / PwC</t>
        </is>
      </c>
      <c r="D9" s="201" t="n">
        <v>45887</v>
      </c>
      <c r="E9" s="201" t="n">
        <v>45887</v>
      </c>
      <c r="F9" s="141" t="inlineStr">
        <is>
          <t>Planned</t>
        </is>
      </c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</row>
    <row r="10" ht="14" customHeight="1">
      <c r="A10" s="142" t="n">
        <v>4</v>
      </c>
      <c r="B10" s="143" t="inlineStr">
        <is>
          <t xml:space="preserve">         Weekly checkpoint meeting cadence booked — Mondays 9am, 9 sessions</t>
        </is>
      </c>
      <c r="C10" s="144" t="inlineStr">
        <is>
          <t>PMO</t>
        </is>
      </c>
      <c r="D10" s="201" t="n">
        <v>45887</v>
      </c>
      <c r="E10" s="201" t="n">
        <v>45887</v>
      </c>
      <c r="F10" s="141" t="inlineStr">
        <is>
          <t>Planned</t>
        </is>
      </c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</row>
    <row r="11" ht="14" customHeight="1">
      <c r="A11" s="137" t="n">
        <v>5</v>
      </c>
      <c r="B11" s="146" t="inlineStr">
        <is>
          <t xml:space="preserve">         Parallel Run Variance Log initialized in ADO / JIRA</t>
        </is>
      </c>
      <c r="C11" s="139" t="inlineStr">
        <is>
          <t>PwC PMO</t>
        </is>
      </c>
      <c r="D11" s="201" t="n">
        <v>45887</v>
      </c>
      <c r="E11" s="201" t="n">
        <v>45887</v>
      </c>
      <c r="F11" s="141" t="inlineStr">
        <is>
          <t>Planned</t>
        </is>
      </c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</row>
    <row r="12" ht="14" customHeight="1">
      <c r="A12" s="142" t="n">
        <v>6</v>
      </c>
      <c r="B12" s="143" t="inlineStr">
        <is>
          <t xml:space="preserve">         Escalation protocol communicated — decision matrix confirmed</t>
        </is>
      </c>
      <c r="C12" s="144" t="inlineStr">
        <is>
          <t>PMO / Sponsor</t>
        </is>
      </c>
      <c r="D12" s="201" t="n">
        <v>45887</v>
      </c>
      <c r="E12" s="201" t="n">
        <v>45888</v>
      </c>
      <c r="F12" s="141" t="inlineStr">
        <is>
          <t>Planned</t>
        </is>
      </c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</row>
    <row r="13" ht="14" customHeight="1">
      <c r="A13" s="137" t="n">
        <v>7</v>
      </c>
      <c r="B13" s="138" t="inlineStr">
        <is>
          <t>EPM Cloud PROD — Parallel Run Configuration</t>
        </is>
      </c>
      <c r="C13" s="139" t="inlineStr">
        <is>
          <t>PwC / IT</t>
        </is>
      </c>
      <c r="D13" s="200" t="n">
        <v>45887</v>
      </c>
      <c r="E13" s="200" t="n">
        <v>45889</v>
      </c>
      <c r="F13" s="141" t="inlineStr">
        <is>
          <t>Planned</t>
        </is>
      </c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</row>
    <row r="14" ht="14" customHeight="1">
      <c r="A14" s="142" t="n">
        <v>8</v>
      </c>
      <c r="B14" s="143" t="inlineStr">
        <is>
          <t xml:space="preserve">         EPM: Enable 'Parallel_Run' Scenario — separate from Budget/Forecast</t>
        </is>
      </c>
      <c r="C14" s="144" t="inlineStr">
        <is>
          <t>PwC</t>
        </is>
      </c>
      <c r="D14" s="201" t="n">
        <v>45887</v>
      </c>
      <c r="E14" s="201" t="n">
        <v>45888</v>
      </c>
      <c r="F14" s="141" t="inlineStr">
        <is>
          <t>Planned</t>
        </is>
      </c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</row>
    <row r="15" ht="14" customHeight="1">
      <c r="A15" s="137" t="n">
        <v>9</v>
      </c>
      <c r="B15" s="146" t="inlineStr">
        <is>
          <t xml:space="preserve">         EPM: CUST_ParallelRunCheck Groovy rule — deploy to PROD, set thresholds</t>
        </is>
      </c>
      <c r="C15" s="139" t="inlineStr">
        <is>
          <t>PwC</t>
        </is>
      </c>
      <c r="D15" s="201" t="n">
        <v>45887</v>
      </c>
      <c r="E15" s="201" t="n">
        <v>45888</v>
      </c>
      <c r="F15" s="141" t="inlineStr">
        <is>
          <t>Planned</t>
        </is>
      </c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</row>
    <row r="16" ht="14" customHeight="1">
      <c r="A16" s="142" t="n">
        <v>10</v>
      </c>
      <c r="B16" s="143" t="inlineStr">
        <is>
          <t xml:space="preserve">         EPM: Parallel Run data form — side-by-side EPM vs Legacy input form</t>
        </is>
      </c>
      <c r="C16" s="144" t="inlineStr">
        <is>
          <t>PwC</t>
        </is>
      </c>
      <c r="D16" s="201" t="n">
        <v>45887</v>
      </c>
      <c r="E16" s="201" t="n">
        <v>45889</v>
      </c>
      <c r="F16" s="141" t="inlineStr">
        <is>
          <t>Planned</t>
        </is>
      </c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</row>
    <row r="17" ht="14" customHeight="1">
      <c r="A17" s="137" t="n">
        <v>11</v>
      </c>
      <c r="B17" s="146" t="inlineStr">
        <is>
          <t xml:space="preserve">         EPM: Parallel Run dashboard — variance heatmap by dept / cost centre</t>
        </is>
      </c>
      <c r="C17" s="139" t="inlineStr">
        <is>
          <t>PwC</t>
        </is>
      </c>
      <c r="D17" s="201" t="n">
        <v>45887</v>
      </c>
      <c r="E17" s="201" t="n">
        <v>45889</v>
      </c>
      <c r="F17" s="141" t="inlineStr">
        <is>
          <t>Planned</t>
        </is>
      </c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</row>
    <row r="18" ht="14" customHeight="1">
      <c r="A18" s="142" t="n">
        <v>12</v>
      </c>
      <c r="B18" s="143" t="inlineStr">
        <is>
          <t xml:space="preserve">         EPM: EPM Automate job — nightly parallel comparison report extract</t>
        </is>
      </c>
      <c r="C18" s="144" t="inlineStr">
        <is>
          <t>IT / PwC</t>
        </is>
      </c>
      <c r="D18" s="201" t="n">
        <v>45888</v>
      </c>
      <c r="E18" s="201" t="n">
        <v>45889</v>
      </c>
      <c r="F18" s="141" t="inlineStr">
        <is>
          <t>Planned</t>
        </is>
      </c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</row>
    <row r="19" ht="14" customHeight="1">
      <c r="A19" s="137" t="n">
        <v>13</v>
      </c>
      <c r="B19" s="146" t="inlineStr">
        <is>
          <t xml:space="preserve">         EPM: Smart View — deploy PR_Comparison ad-hoc template to Finance team</t>
        </is>
      </c>
      <c r="C19" s="139" t="inlineStr">
        <is>
          <t>PwC</t>
        </is>
      </c>
      <c r="D19" s="201" t="n">
        <v>45888</v>
      </c>
      <c r="E19" s="201" t="n">
        <v>45889</v>
      </c>
      <c r="F19" s="141" t="inlineStr">
        <is>
          <t>Planned</t>
        </is>
      </c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</row>
    <row r="20" ht="14" customHeight="1">
      <c r="A20" s="142" t="n">
        <v>14</v>
      </c>
      <c r="B20" s="143" t="inlineStr">
        <is>
          <t xml:space="preserve">         EPM: Narrative Reporting — Parallel Run Weekly Report template activated</t>
        </is>
      </c>
      <c r="C20" s="144" t="inlineStr">
        <is>
          <t>PwC</t>
        </is>
      </c>
      <c r="D20" s="201" t="n">
        <v>45888</v>
      </c>
      <c r="E20" s="201" t="n">
        <v>45889</v>
      </c>
      <c r="F20" s="141" t="inlineStr">
        <is>
          <t>Planned</t>
        </is>
      </c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</row>
    <row r="21" ht="14" customHeight="1">
      <c r="A21" s="137" t="n">
        <v>15</v>
      </c>
      <c r="B21" s="146" t="inlineStr">
        <is>
          <t xml:space="preserve">         Legacy system read-access provisioned for PR comparison team</t>
        </is>
      </c>
      <c r="C21" s="139" t="inlineStr">
        <is>
          <t>IT</t>
        </is>
      </c>
      <c r="D21" s="201" t="n">
        <v>45887</v>
      </c>
      <c r="E21" s="201" t="n">
        <v>45889</v>
      </c>
      <c r="F21" s="141" t="inlineStr">
        <is>
          <t>Planned</t>
        </is>
      </c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</row>
    <row r="22" ht="14" customHeight="1">
      <c r="A22" s="142" t="n">
        <v>16</v>
      </c>
      <c r="B22" s="143" t="inlineStr">
        <is>
          <t xml:space="preserve">         Data extract scripts — legacy system extract automation (Python / SQL)</t>
        </is>
      </c>
      <c r="C22" s="144" t="inlineStr">
        <is>
          <t>IT / PwC</t>
        </is>
      </c>
      <c r="D22" s="201" t="n">
        <v>45887</v>
      </c>
      <c r="E22" s="201" t="n">
        <v>45889</v>
      </c>
      <c r="F22" s="141" t="inlineStr">
        <is>
          <t>Planned</t>
        </is>
      </c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</row>
    <row r="23" ht="19" customHeight="1">
      <c r="A23" s="136" t="inlineStr">
        <is>
          <t xml:space="preserve">  WEEK 1  (Aug 21–27)  —  First Parallel Run Cycle: Baseline Comparison</t>
        </is>
      </c>
    </row>
    <row r="24" ht="14" customHeight="1">
      <c r="A24" s="137" t="n">
        <v>17</v>
      </c>
      <c r="B24" s="138" t="inlineStr">
        <is>
          <t>W1: Data Extraction &amp; Ingestion — Both Systems</t>
        </is>
      </c>
      <c r="C24" s="139" t="inlineStr">
        <is>
          <t>IT / PwC</t>
        </is>
      </c>
      <c r="D24" s="200" t="n">
        <v>45890</v>
      </c>
      <c r="E24" s="200" t="n">
        <v>45891</v>
      </c>
      <c r="F24" s="141" t="inlineStr">
        <is>
          <t>Planned</t>
        </is>
      </c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</row>
    <row r="25" ht="14" customHeight="1">
      <c r="A25" s="142" t="n">
        <v>18</v>
      </c>
      <c r="B25" s="143" t="inlineStr">
        <is>
          <t xml:space="preserve">         EPM: Run OEP_WFPCalcAll + OEP_WFPAggregateAll — full PROD recalc</t>
        </is>
      </c>
      <c r="C25" s="144" t="inlineStr">
        <is>
          <t>PwC</t>
        </is>
      </c>
      <c r="D25" s="201" t="n">
        <v>45890</v>
      </c>
      <c r="E25" s="201" t="n">
        <v>45890</v>
      </c>
      <c r="F25" s="141" t="inlineStr">
        <is>
          <t>Planned</t>
        </is>
      </c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</row>
    <row r="26" ht="14" customHeight="1">
      <c r="A26" s="137" t="n">
        <v>19</v>
      </c>
      <c r="B26" s="146" t="inlineStr">
        <is>
          <t xml:space="preserve">         EPM: Export WFP actuals — HC by Position, Dept, Cost Centre, Job Code</t>
        </is>
      </c>
      <c r="C26" s="139" t="inlineStr">
        <is>
          <t>PwC / Finance</t>
        </is>
      </c>
      <c r="D26" s="201" t="n">
        <v>45890</v>
      </c>
      <c r="E26" s="201" t="n">
        <v>45890</v>
      </c>
      <c r="F26" s="141" t="inlineStr">
        <is>
          <t>Planned</t>
        </is>
      </c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</row>
    <row r="27" ht="14" customHeight="1">
      <c r="A27" s="142" t="n">
        <v>20</v>
      </c>
      <c r="B27" s="143" t="inlineStr">
        <is>
          <t xml:space="preserve">         EPM: Export OPEX G&amp;A — all cost lines by Cost Centre, Period</t>
        </is>
      </c>
      <c r="C27" s="144" t="inlineStr">
        <is>
          <t>PwC / Finance</t>
        </is>
      </c>
      <c r="D27" s="201" t="n">
        <v>45890</v>
      </c>
      <c r="E27" s="201" t="n">
        <v>45890</v>
      </c>
      <c r="F27" s="141" t="inlineStr">
        <is>
          <t>Planned</t>
        </is>
      </c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</row>
    <row r="28" ht="14" customHeight="1">
      <c r="A28" s="137" t="n">
        <v>21</v>
      </c>
      <c r="B28" s="146" t="inlineStr">
        <is>
          <t xml:space="preserve">         Legacy extract: headcount file from HR/spreadsheet source (all depts)</t>
        </is>
      </c>
      <c r="C28" s="139" t="inlineStr">
        <is>
          <t>Finance / IT</t>
        </is>
      </c>
      <c r="D28" s="201" t="n">
        <v>45890</v>
      </c>
      <c r="E28" s="201" t="n">
        <v>45891</v>
      </c>
      <c r="F28" s="141" t="inlineStr">
        <is>
          <t>Planned</t>
        </is>
      </c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</row>
    <row r="29" ht="14" customHeight="1">
      <c r="A29" s="142" t="n">
        <v>22</v>
      </c>
      <c r="B29" s="143" t="inlineStr">
        <is>
          <t xml:space="preserve">         Legacy extract: OPEX G&amp;A cost centre actuals from legacy planning tool</t>
        </is>
      </c>
      <c r="C29" s="144" t="inlineStr">
        <is>
          <t>Finance</t>
        </is>
      </c>
      <c r="D29" s="201" t="n">
        <v>45890</v>
      </c>
      <c r="E29" s="201" t="n">
        <v>45891</v>
      </c>
      <c r="F29" s="141" t="inlineStr">
        <is>
          <t>Planned</t>
        </is>
      </c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</row>
    <row r="30" ht="14" customHeight="1">
      <c r="A30" s="137" t="n">
        <v>23</v>
      </c>
      <c r="B30" s="138" t="inlineStr">
        <is>
          <t>W1: Reconciliation &amp; Variance Analysis</t>
        </is>
      </c>
      <c r="C30" s="139" t="inlineStr">
        <is>
          <t>PwC / Finance</t>
        </is>
      </c>
      <c r="D30" s="200" t="n">
        <v>45891</v>
      </c>
      <c r="E30" s="200" t="n">
        <v>45894</v>
      </c>
      <c r="F30" s="141" t="inlineStr">
        <is>
          <t>Planned</t>
        </is>
      </c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</row>
    <row r="31" ht="14" customHeight="1">
      <c r="A31" s="142" t="n">
        <v>24</v>
      </c>
      <c r="B31" s="143" t="inlineStr">
        <is>
          <t xml:space="preserve">         EPM: Run CUST_ParallelRunCheck — position-level EPM vs Legacy delta</t>
        </is>
      </c>
      <c r="C31" s="144" t="inlineStr">
        <is>
          <t>PwC</t>
        </is>
      </c>
      <c r="D31" s="201" t="n">
        <v>45891</v>
      </c>
      <c r="E31" s="201" t="n">
        <v>45891</v>
      </c>
      <c r="F31" s="141" t="inlineStr">
        <is>
          <t>Planned</t>
        </is>
      </c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</row>
    <row r="32" ht="14" customHeight="1">
      <c r="A32" s="137" t="n">
        <v>25</v>
      </c>
      <c r="B32" s="146" t="inlineStr">
        <is>
          <t xml:space="preserve">         HC comparison: FTE count by Dept (EPM OEP_WFPAggregateAll vs legacy roster)</t>
        </is>
      </c>
      <c r="C32" s="139" t="inlineStr">
        <is>
          <t>Finance / PwC</t>
        </is>
      </c>
      <c r="D32" s="201" t="n">
        <v>45891</v>
      </c>
      <c r="E32" s="201" t="n">
        <v>45894</v>
      </c>
      <c r="F32" s="141" t="inlineStr">
        <is>
          <t>Planned</t>
        </is>
      </c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</row>
    <row r="33" ht="14" customHeight="1">
      <c r="A33" s="142" t="n">
        <v>26</v>
      </c>
      <c r="B33" s="143" t="inlineStr">
        <is>
          <t xml:space="preserve">         Compensation comparison: Total comp by position (Base+Bonus+Benefits vs legacy)</t>
        </is>
      </c>
      <c r="C33" s="144" t="inlineStr">
        <is>
          <t>Finance / PwC</t>
        </is>
      </c>
      <c r="D33" s="201" t="n">
        <v>45891</v>
      </c>
      <c r="E33" s="201" t="n">
        <v>45894</v>
      </c>
      <c r="F33" s="141" t="inlineStr">
        <is>
          <t>Planned</t>
        </is>
      </c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</row>
    <row r="34" ht="14" customHeight="1">
      <c r="A34" s="137" t="n">
        <v>27</v>
      </c>
      <c r="B34" s="146" t="inlineStr">
        <is>
          <t xml:space="preserve">         OPEX comparison: G&amp;A cost lines by cost centre (EPM CUST_OPEXDriverCalc vs legacy)</t>
        </is>
      </c>
      <c r="C34" s="139" t="inlineStr">
        <is>
          <t>FP&amp;A / PwC</t>
        </is>
      </c>
      <c r="D34" s="201" t="n">
        <v>45891</v>
      </c>
      <c r="E34" s="201" t="n">
        <v>45894</v>
      </c>
      <c r="F34" s="141" t="inlineStr">
        <is>
          <t>Planned</t>
        </is>
      </c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</row>
    <row r="35" ht="14" customHeight="1">
      <c r="A35" s="142" t="n">
        <v>28</v>
      </c>
      <c r="B35" s="143" t="inlineStr">
        <is>
          <t xml:space="preserve">         BOR/ICP comparison: below-the-line ICP allocation (CUST_ICPSpread vs legacy)</t>
        </is>
      </c>
      <c r="C35" s="144" t="inlineStr">
        <is>
          <t>Finance / PwC</t>
        </is>
      </c>
      <c r="D35" s="201" t="n">
        <v>45894</v>
      </c>
      <c r="E35" s="201" t="n">
        <v>45894</v>
      </c>
      <c r="F35" s="141" t="inlineStr">
        <is>
          <t>Planned</t>
        </is>
      </c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</row>
    <row r="36" ht="14" customHeight="1">
      <c r="A36" s="137" t="n">
        <v>29</v>
      </c>
      <c r="B36" s="146" t="inlineStr">
        <is>
          <t xml:space="preserve">         Variance log W1 — log all variances in ADO with severity, root cause hypothesis</t>
        </is>
      </c>
      <c r="C36" s="139" t="inlineStr">
        <is>
          <t>PwC PMO</t>
        </is>
      </c>
      <c r="D36" s="201" t="n">
        <v>45891</v>
      </c>
      <c r="E36" s="201" t="n">
        <v>45894</v>
      </c>
      <c r="F36" s="141" t="inlineStr">
        <is>
          <t>Planned</t>
        </is>
      </c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</row>
    <row r="37" ht="14" customHeight="1">
      <c r="A37" s="142" t="n">
        <v>30</v>
      </c>
      <c r="B37" s="147" t="inlineStr">
        <is>
          <t>W1: Checkpoint Meeting &amp; Report</t>
        </is>
      </c>
      <c r="C37" s="144" t="inlineStr">
        <is>
          <t>PMO / Finance</t>
        </is>
      </c>
      <c r="D37" s="200" t="n">
        <v>45894</v>
      </c>
      <c r="E37" s="200" t="n">
        <v>45894</v>
      </c>
      <c r="F37" s="141" t="inlineStr">
        <is>
          <t>Planned</t>
        </is>
      </c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</row>
    <row r="38" ht="14" customHeight="1">
      <c r="A38" s="137" t="n">
        <v>31</v>
      </c>
      <c r="B38" s="146" t="inlineStr">
        <is>
          <t xml:space="preserve">         W1 Checkpoint: Variance review — P1/P2 triage, root cause walkthrough</t>
        </is>
      </c>
      <c r="C38" s="139" t="inlineStr">
        <is>
          <t>PwC PMO / CFO</t>
        </is>
      </c>
      <c r="D38" s="201" t="n">
        <v>45894</v>
      </c>
      <c r="E38" s="201" t="n">
        <v>45894</v>
      </c>
      <c r="F38" s="141" t="inlineStr">
        <is>
          <t>Planned</t>
        </is>
      </c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</row>
    <row r="39" ht="14" customHeight="1">
      <c r="A39" s="142" t="n">
        <v>32</v>
      </c>
      <c r="B39" s="143" t="inlineStr">
        <is>
          <t xml:space="preserve">         W1 Status Report issued — variance count, P1/P2 count, remediation plan</t>
        </is>
      </c>
      <c r="C39" s="144" t="inlineStr">
        <is>
          <t>PwC PMO</t>
        </is>
      </c>
      <c r="D39" s="201" t="n">
        <v>45894</v>
      </c>
      <c r="E39" s="201" t="n">
        <v>45894</v>
      </c>
      <c r="F39" s="141" t="inlineStr">
        <is>
          <t>Planned</t>
        </is>
      </c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</row>
    <row r="40" ht="14" customHeight="1">
      <c r="A40" s="137" t="n">
        <v>33</v>
      </c>
      <c r="B40" s="146" t="inlineStr">
        <is>
          <t xml:space="preserve">         EPM: Config hotfixes — any P1 calc rule corrections deployed to PROD</t>
        </is>
      </c>
      <c r="C40" s="139" t="inlineStr">
        <is>
          <t>PwC</t>
        </is>
      </c>
      <c r="D40" s="201" t="n">
        <v>45894</v>
      </c>
      <c r="E40" s="201" t="n">
        <v>45896</v>
      </c>
      <c r="F40" s="141" t="inlineStr">
        <is>
          <t>Planned</t>
        </is>
      </c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</row>
    <row r="41" ht="19" customHeight="1">
      <c r="A41" s="136" t="inlineStr">
        <is>
          <t xml:space="preserve">  WEEKS 2–3  (Sep 1–12)  —  Cycle Stabilization &amp; Root Cause Resolution</t>
        </is>
      </c>
    </row>
    <row r="42" ht="14" customHeight="1">
      <c r="A42" s="142" t="n">
        <v>34</v>
      </c>
      <c r="B42" s="147" t="inlineStr">
        <is>
          <t>W2–W3: EPM Config Fine-Tuning (from W1 findings)</t>
        </is>
      </c>
      <c r="C42" s="144" t="inlineStr">
        <is>
          <t>PwC</t>
        </is>
      </c>
      <c r="D42" s="200" t="n">
        <v>45901</v>
      </c>
      <c r="E42" s="200" t="n">
        <v>45912</v>
      </c>
      <c r="F42" s="141" t="inlineStr">
        <is>
          <t>Planned</t>
        </is>
      </c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</row>
    <row r="43" ht="14" customHeight="1">
      <c r="A43" s="137" t="n">
        <v>35</v>
      </c>
      <c r="B43" s="146" t="inlineStr">
        <is>
          <t xml:space="preserve">         EPM: Groovy rule parameter adjustments — tolerance table updates in PROD</t>
        </is>
      </c>
      <c r="C43" s="139" t="inlineStr">
        <is>
          <t>PwC</t>
        </is>
      </c>
      <c r="D43" s="201" t="n">
        <v>45901</v>
      </c>
      <c r="E43" s="201" t="n">
        <v>45905</v>
      </c>
      <c r="F43" s="141" t="inlineStr">
        <is>
          <t>Planned</t>
        </is>
      </c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</row>
    <row r="44" ht="14" customHeight="1">
      <c r="A44" s="142" t="n">
        <v>36</v>
      </c>
      <c r="B44" s="143" t="inlineStr">
        <is>
          <t xml:space="preserve">         EPM: Metadata corrections — hierarchy fixes, reclassifications (if W1 found gaps)</t>
        </is>
      </c>
      <c r="C44" s="144" t="inlineStr">
        <is>
          <t>PwC</t>
        </is>
      </c>
      <c r="D44" s="201" t="n">
        <v>45901</v>
      </c>
      <c r="E44" s="201" t="n">
        <v>45905</v>
      </c>
      <c r="F44" s="141" t="inlineStr">
        <is>
          <t>Planned</t>
        </is>
      </c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</row>
    <row r="45" ht="14" customHeight="1">
      <c r="A45" s="137" t="n">
        <v>37</v>
      </c>
      <c r="B45" s="146" t="inlineStr">
        <is>
          <t xml:space="preserve">         EPM: CUST_BORAllocation — allocation key recalibration if W1 variances material</t>
        </is>
      </c>
      <c r="C45" s="139" t="inlineStr">
        <is>
          <t>PwC / Finance</t>
        </is>
      </c>
      <c r="D45" s="201" t="n">
        <v>45901</v>
      </c>
      <c r="E45" s="201" t="n">
        <v>45905</v>
      </c>
      <c r="F45" s="141" t="inlineStr">
        <is>
          <t>Planned</t>
        </is>
      </c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</row>
    <row r="46" ht="14" customHeight="1">
      <c r="A46" s="142" t="n">
        <v>38</v>
      </c>
      <c r="B46" s="143" t="inlineStr">
        <is>
          <t xml:space="preserve">         EPM: Data load re-run — correct historical actuals if mapping errors found in W1</t>
        </is>
      </c>
      <c r="C46" s="144" t="inlineStr">
        <is>
          <t>IT / PwC</t>
        </is>
      </c>
      <c r="D46" s="201" t="n">
        <v>45901</v>
      </c>
      <c r="E46" s="201" t="n">
        <v>45905</v>
      </c>
      <c r="F46" s="141" t="inlineStr">
        <is>
          <t>Planned</t>
        </is>
      </c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</row>
    <row r="47" ht="14" customHeight="1">
      <c r="A47" s="137" t="n">
        <v>39</v>
      </c>
      <c r="B47" s="146" t="inlineStr">
        <is>
          <t xml:space="preserve">         EPM: Integration re-validation — HRIS→EPM position data refresh (if W1 HC gap)</t>
        </is>
      </c>
      <c r="C47" s="139" t="inlineStr">
        <is>
          <t>IT</t>
        </is>
      </c>
      <c r="D47" s="201" t="n">
        <v>45901</v>
      </c>
      <c r="E47" s="201" t="n">
        <v>45905</v>
      </c>
      <c r="F47" s="141" t="inlineStr">
        <is>
          <t>Planned</t>
        </is>
      </c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</row>
    <row r="48" ht="14" customHeight="1">
      <c r="A48" s="142" t="n">
        <v>40</v>
      </c>
      <c r="B48" s="147" t="inlineStr">
        <is>
          <t>W2–W3: Cycle 2 Parallel Run Execution</t>
        </is>
      </c>
      <c r="C48" s="144" t="inlineStr">
        <is>
          <t>Finance / PwC</t>
        </is>
      </c>
      <c r="D48" s="200" t="n">
        <v>45901</v>
      </c>
      <c r="E48" s="200" t="n">
        <v>45912</v>
      </c>
      <c r="F48" s="141" t="inlineStr">
        <is>
          <t>Planned</t>
        </is>
      </c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</row>
    <row r="49" ht="14" customHeight="1">
      <c r="A49" s="137" t="n">
        <v>41</v>
      </c>
      <c r="B49" s="146" t="inlineStr">
        <is>
          <t xml:space="preserve">         W2 Data extraction — EPM + legacy (same extract protocol as W1)</t>
        </is>
      </c>
      <c r="C49" s="139" t="inlineStr">
        <is>
          <t>IT / Finance</t>
        </is>
      </c>
      <c r="D49" s="201" t="n">
        <v>45901</v>
      </c>
      <c r="E49" s="201" t="n">
        <v>45902</v>
      </c>
      <c r="F49" s="141" t="inlineStr">
        <is>
          <t>Planned</t>
        </is>
      </c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</row>
    <row r="50" ht="14" customHeight="1">
      <c r="A50" s="142" t="n">
        <v>42</v>
      </c>
      <c r="B50" s="143" t="inlineStr">
        <is>
          <t xml:space="preserve">         W2 CUST_ParallelRunCheck execution — expect fewer P1 flags vs W1</t>
        </is>
      </c>
      <c r="C50" s="144" t="inlineStr">
        <is>
          <t>PwC</t>
        </is>
      </c>
      <c r="D50" s="201" t="n">
        <v>45902</v>
      </c>
      <c r="E50" s="201" t="n">
        <v>45902</v>
      </c>
      <c r="F50" s="141" t="inlineStr">
        <is>
          <t>Planned</t>
        </is>
      </c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</row>
    <row r="51" ht="14" customHeight="1">
      <c r="A51" s="137" t="n">
        <v>43</v>
      </c>
      <c r="B51" s="146" t="inlineStr">
        <is>
          <t xml:space="preserve">         W2 Variance analysis — detailed root cause for all remaining P2+ items</t>
        </is>
      </c>
      <c r="C51" s="139" t="inlineStr">
        <is>
          <t>Finance / PwC</t>
        </is>
      </c>
      <c r="D51" s="201" t="n">
        <v>45902</v>
      </c>
      <c r="E51" s="201" t="n">
        <v>45905</v>
      </c>
      <c r="F51" s="141" t="inlineStr">
        <is>
          <t>Planned</t>
        </is>
      </c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</row>
    <row r="52" ht="14" customHeight="1">
      <c r="A52" s="142" t="n">
        <v>44</v>
      </c>
      <c r="B52" s="143" t="inlineStr">
        <is>
          <t xml:space="preserve">         W2 Checkpoint + Status Report issued</t>
        </is>
      </c>
      <c r="C52" s="144" t="inlineStr">
        <is>
          <t>PMO</t>
        </is>
      </c>
      <c r="D52" s="201" t="n">
        <v>45908</v>
      </c>
      <c r="E52" s="201" t="n">
        <v>45908</v>
      </c>
      <c r="F52" s="141" t="inlineStr">
        <is>
          <t>Planned</t>
        </is>
      </c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</row>
    <row r="53" ht="14" customHeight="1">
      <c r="A53" s="137" t="n">
        <v>45</v>
      </c>
      <c r="B53" s="146" t="inlineStr">
        <is>
          <t xml:space="preserve">         W3 Data extraction &amp; CUST_ParallelRunCheck run</t>
        </is>
      </c>
      <c r="C53" s="139" t="inlineStr">
        <is>
          <t>IT / PwC</t>
        </is>
      </c>
      <c r="D53" s="201" t="n">
        <v>45908</v>
      </c>
      <c r="E53" s="201" t="n">
        <v>45909</v>
      </c>
      <c r="F53" s="141" t="inlineStr">
        <is>
          <t>Planned</t>
        </is>
      </c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</row>
    <row r="54" ht="14" customHeight="1">
      <c r="A54" s="142" t="n">
        <v>46</v>
      </c>
      <c r="B54" s="143" t="inlineStr">
        <is>
          <t xml:space="preserve">         W3 Variance trend analysis — week-over-week improvement tracking</t>
        </is>
      </c>
      <c r="C54" s="144" t="inlineStr">
        <is>
          <t>PwC PMO</t>
        </is>
      </c>
      <c r="D54" s="201" t="n">
        <v>45909</v>
      </c>
      <c r="E54" s="201" t="n">
        <v>45912</v>
      </c>
      <c r="F54" s="141" t="inlineStr">
        <is>
          <t>Planned</t>
        </is>
      </c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</row>
    <row r="55" ht="14" customHeight="1">
      <c r="A55" s="137" t="n">
        <v>47</v>
      </c>
      <c r="B55" s="146" t="inlineStr">
        <is>
          <t xml:space="preserve">         W3 Checkpoint + Status Report + first SteerCo parallel run summary</t>
        </is>
      </c>
      <c r="C55" s="139" t="inlineStr">
        <is>
          <t>PMO / PwC</t>
        </is>
      </c>
      <c r="D55" s="201" t="n">
        <v>45912</v>
      </c>
      <c r="E55" s="201" t="n">
        <v>45912</v>
      </c>
      <c r="F55" s="141" t="inlineStr">
        <is>
          <t>Planned</t>
        </is>
      </c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</row>
    <row r="56" ht="19" customHeight="1">
      <c r="A56" s="136" t="inlineStr">
        <is>
          <t xml:space="preserve">  WEEKS 4–6  (Sep 15 – Oct 3)  —  Steady-State Operation &amp; Confidence Building</t>
        </is>
      </c>
    </row>
    <row r="57" ht="14" customHeight="1">
      <c r="A57" s="142" t="n">
        <v>48</v>
      </c>
      <c r="B57" s="147" t="inlineStr">
        <is>
          <t>W4–W6: Ongoing Parallel Execution (Weeks 4, 5, 6)</t>
        </is>
      </c>
      <c r="C57" s="144" t="inlineStr">
        <is>
          <t>Finance / PwC</t>
        </is>
      </c>
      <c r="D57" s="200" t="n">
        <v>45915</v>
      </c>
      <c r="E57" s="200" t="n">
        <v>45933</v>
      </c>
      <c r="F57" s="141" t="inlineStr">
        <is>
          <t>Planned</t>
        </is>
      </c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</row>
    <row r="58" ht="14" customHeight="1">
      <c r="A58" s="137" t="n">
        <v>49</v>
      </c>
      <c r="B58" s="146" t="inlineStr">
        <is>
          <t xml:space="preserve">         W4–W6: Weekly EPM extract + CUST_ParallelRunCheck (every Monday AM)</t>
        </is>
      </c>
      <c r="C58" s="139" t="inlineStr">
        <is>
          <t>IT / Finance</t>
        </is>
      </c>
      <c r="D58" s="201" t="n">
        <v>45915</v>
      </c>
      <c r="E58" s="201" t="n">
        <v>45933</v>
      </c>
      <c r="F58" s="141" t="inlineStr">
        <is>
          <t>Planned</t>
        </is>
      </c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</row>
    <row r="59" ht="14" customHeight="1">
      <c r="A59" s="142" t="n">
        <v>50</v>
      </c>
      <c r="B59" s="143" t="inlineStr">
        <is>
          <t xml:space="preserve">         W4–W6: Variance log updates — close P3 items; maintain P2 remediation tracker</t>
        </is>
      </c>
      <c r="C59" s="144" t="inlineStr">
        <is>
          <t>PwC PMO</t>
        </is>
      </c>
      <c r="D59" s="201" t="n">
        <v>45915</v>
      </c>
      <c r="E59" s="201" t="n">
        <v>45933</v>
      </c>
      <c r="F59" s="141" t="inlineStr">
        <is>
          <t>Planned</t>
        </is>
      </c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</row>
    <row r="60" ht="14" customHeight="1">
      <c r="A60" s="137" t="n">
        <v>51</v>
      </c>
      <c r="B60" s="146" t="inlineStr">
        <is>
          <t xml:space="preserve">         W4–W6: EPM dashboard review — PR_Variance_Dashboard RAG status by dept</t>
        </is>
      </c>
      <c r="C60" s="139" t="inlineStr">
        <is>
          <t>Finance</t>
        </is>
      </c>
      <c r="D60" s="201" t="n">
        <v>45915</v>
      </c>
      <c r="E60" s="201" t="n">
        <v>45933</v>
      </c>
      <c r="F60" s="141" t="inlineStr">
        <is>
          <t>Planned</t>
        </is>
      </c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</row>
    <row r="61" ht="14" customHeight="1">
      <c r="A61" s="142" t="n">
        <v>52</v>
      </c>
      <c r="B61" s="143" t="inlineStr">
        <is>
          <t xml:space="preserve">         W4–W6: Weekly checkpoint meetings — progress, decisions, escalations</t>
        </is>
      </c>
      <c r="C61" s="144" t="inlineStr">
        <is>
          <t>PMO / CFO</t>
        </is>
      </c>
      <c r="D61" s="201" t="n">
        <v>45915</v>
      </c>
      <c r="E61" s="201" t="n">
        <v>45933</v>
      </c>
      <c r="F61" s="141" t="inlineStr">
        <is>
          <t>Planned</t>
        </is>
      </c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</row>
    <row r="62" ht="14" customHeight="1">
      <c r="A62" s="137" t="n">
        <v>53</v>
      </c>
      <c r="B62" s="138" t="inlineStr">
        <is>
          <t>W4–W6: EPM Reporting Parity Validation</t>
        </is>
      </c>
      <c r="C62" s="139" t="inlineStr">
        <is>
          <t>FP&amp;A / PwC</t>
        </is>
      </c>
      <c r="D62" s="200" t="n">
        <v>45915</v>
      </c>
      <c r="E62" s="200" t="n">
        <v>45933</v>
      </c>
      <c r="F62" s="141" t="inlineStr">
        <is>
          <t>Planned</t>
        </is>
      </c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</row>
    <row r="63" ht="14" customHeight="1">
      <c r="A63" s="142" t="n">
        <v>54</v>
      </c>
      <c r="B63" s="143" t="inlineStr">
        <is>
          <t xml:space="preserve">         WFP Management Report (NR) vs legacy HC report — page-by-page comparison</t>
        </is>
      </c>
      <c r="C63" s="144" t="inlineStr">
        <is>
          <t>Finance / FP&amp;A</t>
        </is>
      </c>
      <c r="D63" s="201" t="n">
        <v>45915</v>
      </c>
      <c r="E63" s="201" t="n">
        <v>45926</v>
      </c>
      <c r="F63" s="141" t="inlineStr">
        <is>
          <t>Planned</t>
        </is>
      </c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</row>
    <row r="64" ht="14" customHeight="1">
      <c r="A64" s="137" t="n">
        <v>55</v>
      </c>
      <c r="B64" s="146" t="inlineStr">
        <is>
          <t xml:space="preserve">         OPEX G&amp;A management dashboard vs legacy finance report — line-item parity</t>
        </is>
      </c>
      <c r="C64" s="139" t="inlineStr">
        <is>
          <t>FP&amp;A</t>
        </is>
      </c>
      <c r="D64" s="201" t="n">
        <v>45915</v>
      </c>
      <c r="E64" s="201" t="n">
        <v>45926</v>
      </c>
      <c r="F64" s="141" t="inlineStr">
        <is>
          <t>Planned</t>
        </is>
      </c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</row>
    <row r="65" ht="14" customHeight="1">
      <c r="A65" s="142" t="n">
        <v>56</v>
      </c>
      <c r="B65" s="143" t="inlineStr">
        <is>
          <t xml:space="preserve">         BOR / ICP management view — new EPM view vs legacy cost allocation report</t>
        </is>
      </c>
      <c r="C65" s="144" t="inlineStr">
        <is>
          <t>Finance / CFO</t>
        </is>
      </c>
      <c r="D65" s="201" t="n">
        <v>45922</v>
      </c>
      <c r="E65" s="201" t="n">
        <v>45933</v>
      </c>
      <c r="F65" s="141" t="inlineStr">
        <is>
          <t>Planned</t>
        </is>
      </c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</row>
    <row r="66" ht="14" customHeight="1">
      <c r="A66" s="137" t="n">
        <v>57</v>
      </c>
      <c r="B66" s="146" t="inlineStr">
        <is>
          <t xml:space="preserve">         Narrative Reporting board-pack section — Finance validates EPM NR vs legacy pack</t>
        </is>
      </c>
      <c r="C66" s="139" t="inlineStr">
        <is>
          <t>CFO Office</t>
        </is>
      </c>
      <c r="D66" s="201" t="n">
        <v>45922</v>
      </c>
      <c r="E66" s="201" t="n">
        <v>45933</v>
      </c>
      <c r="F66" s="141" t="inlineStr">
        <is>
          <t>Planned</t>
        </is>
      </c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</row>
    <row r="67" ht="14" customHeight="1">
      <c r="A67" s="142" t="n">
        <v>58</v>
      </c>
      <c r="B67" s="147" t="inlineStr">
        <is>
          <t>W5: Mid-Point SteerCo Review (Sep 22)</t>
        </is>
      </c>
      <c r="C67" s="144" t="inlineStr">
        <is>
          <t>Sponsor / CFO / PwC</t>
        </is>
      </c>
      <c r="D67" s="200" t="n">
        <v>45922</v>
      </c>
      <c r="E67" s="200" t="n">
        <v>45922</v>
      </c>
      <c r="F67" s="141" t="inlineStr">
        <is>
          <t>Planned</t>
        </is>
      </c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</row>
    <row r="68" ht="14" customHeight="1">
      <c r="A68" s="137" t="n">
        <v>59</v>
      </c>
      <c r="B68" s="146" t="inlineStr">
        <is>
          <t xml:space="preserve">         Mid-Point SteerCo Parallel Run Review — trend, confidence level, outlook</t>
        </is>
      </c>
      <c r="C68" s="139" t="inlineStr">
        <is>
          <t>PwC PMO</t>
        </is>
      </c>
      <c r="D68" s="201" t="n">
        <v>45922</v>
      </c>
      <c r="E68" s="201" t="n">
        <v>45922</v>
      </c>
      <c r="F68" s="141" t="inlineStr">
        <is>
          <t>Planned</t>
        </is>
      </c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</row>
    <row r="69" ht="14" customHeight="1">
      <c r="A69" s="142" t="n">
        <v>60</v>
      </c>
      <c r="B69" s="143" t="inlineStr">
        <is>
          <t xml:space="preserve">         SteerCo: Preliminary Go/No-Go assessment — legacy decommission on track?</t>
        </is>
      </c>
      <c r="C69" s="144" t="inlineStr">
        <is>
          <t>Sponsor / CIO / CFO</t>
        </is>
      </c>
      <c r="D69" s="201" t="n">
        <v>45922</v>
      </c>
      <c r="E69" s="201" t="n">
        <v>45922</v>
      </c>
      <c r="F69" s="141" t="inlineStr">
        <is>
          <t>Planned</t>
        </is>
      </c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</row>
    <row r="70" ht="14" customHeight="1">
      <c r="A70" s="137" t="n">
        <v>61</v>
      </c>
      <c r="B70" s="146" t="inlineStr">
        <is>
          <t xml:space="preserve">         User confidence survey — Finance, HR, FP&amp;A teams (mid-point check)</t>
        </is>
      </c>
      <c r="C70" s="139" t="inlineStr">
        <is>
          <t>PwC OCM</t>
        </is>
      </c>
      <c r="D70" s="201" t="n">
        <v>45922</v>
      </c>
      <c r="E70" s="201" t="n">
        <v>45926</v>
      </c>
      <c r="F70" s="141" t="inlineStr">
        <is>
          <t>Planned</t>
        </is>
      </c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</row>
    <row r="71" ht="19" customHeight="1">
      <c r="A71" s="136" t="inlineStr">
        <is>
          <t xml:space="preserve">  WEEKS 7–8  (Oct 6–17)  —  Exit Preparation, Final Validation &amp; Decommission Readiness</t>
        </is>
      </c>
    </row>
    <row r="72" ht="14" customHeight="1">
      <c r="A72" s="142" t="n">
        <v>62</v>
      </c>
      <c r="B72" s="147" t="inlineStr">
        <is>
          <t>W7–W8: Final Parallel Run Cycles</t>
        </is>
      </c>
      <c r="C72" s="144" t="inlineStr">
        <is>
          <t>Finance / PwC</t>
        </is>
      </c>
      <c r="D72" s="200" t="n">
        <v>45936</v>
      </c>
      <c r="E72" s="200" t="n">
        <v>45947</v>
      </c>
      <c r="F72" s="141" t="inlineStr">
        <is>
          <t>Planned</t>
        </is>
      </c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</row>
    <row r="73" ht="14" customHeight="1">
      <c r="A73" s="137" t="n">
        <v>63</v>
      </c>
      <c r="B73" s="146" t="inlineStr">
        <is>
          <t xml:space="preserve">         W7 EPM extract + CUST_ParallelRunCheck — final full-scope run</t>
        </is>
      </c>
      <c r="C73" s="139" t="inlineStr">
        <is>
          <t>IT / Finance</t>
        </is>
      </c>
      <c r="D73" s="201" t="n">
        <v>45936</v>
      </c>
      <c r="E73" s="201" t="n">
        <v>45937</v>
      </c>
      <c r="F73" s="141" t="inlineStr">
        <is>
          <t>Planned</t>
        </is>
      </c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</row>
    <row r="74" ht="14" customHeight="1">
      <c r="A74" s="142" t="n">
        <v>64</v>
      </c>
      <c r="B74" s="143" t="inlineStr">
        <is>
          <t xml:space="preserve">         W7 Variance log — close all P2/P3 items (resolve or formally accept with rationale)</t>
        </is>
      </c>
      <c r="C74" s="144" t="inlineStr">
        <is>
          <t>Finance / PwC</t>
        </is>
      </c>
      <c r="D74" s="201" t="n">
        <v>45937</v>
      </c>
      <c r="E74" s="201" t="n">
        <v>45940</v>
      </c>
      <c r="F74" s="141" t="inlineStr">
        <is>
          <t>Planned</t>
        </is>
      </c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</row>
    <row r="75" ht="14" customHeight="1">
      <c r="A75" s="137" t="n">
        <v>65</v>
      </c>
      <c r="B75" s="146" t="inlineStr">
        <is>
          <t xml:space="preserve">         W7 Checkpoint meeting — final variance review; no new P1/P2 items</t>
        </is>
      </c>
      <c r="C75" s="139" t="inlineStr">
        <is>
          <t>PMO / CFO</t>
        </is>
      </c>
      <c r="D75" s="201" t="n">
        <v>45943</v>
      </c>
      <c r="E75" s="201" t="n">
        <v>45943</v>
      </c>
      <c r="F75" s="141" t="inlineStr">
        <is>
          <t>Planned</t>
        </is>
      </c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</row>
    <row r="76" ht="14" customHeight="1">
      <c r="A76" s="142" t="n">
        <v>66</v>
      </c>
      <c r="B76" s="143" t="inlineStr">
        <is>
          <t xml:space="preserve">         W8 Final extract + CUST_ParallelRunCheck — confirmation run (Oct 13-15)</t>
        </is>
      </c>
      <c r="C76" s="144" t="inlineStr">
        <is>
          <t>IT / Finance</t>
        </is>
      </c>
      <c r="D76" s="201" t="n">
        <v>45943</v>
      </c>
      <c r="E76" s="201" t="n">
        <v>45945</v>
      </c>
      <c r="F76" s="141" t="inlineStr">
        <is>
          <t>Planned</t>
        </is>
      </c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</row>
    <row r="77" ht="14" customHeight="1">
      <c r="A77" s="137" t="n">
        <v>67</v>
      </c>
      <c r="B77" s="146" t="inlineStr">
        <is>
          <t xml:space="preserve">         W8 Parallel Run Validation Report — consolidated 9-week summary</t>
        </is>
      </c>
      <c r="C77" s="139" t="inlineStr">
        <is>
          <t>PwC PMO</t>
        </is>
      </c>
      <c r="D77" s="201" t="n">
        <v>45943</v>
      </c>
      <c r="E77" s="201" t="n">
        <v>45947</v>
      </c>
      <c r="F77" s="141" t="inlineStr">
        <is>
          <t>Planned</t>
        </is>
      </c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</row>
    <row r="78" ht="14" customHeight="1">
      <c r="A78" s="142" t="n">
        <v>68</v>
      </c>
      <c r="B78" s="147" t="inlineStr">
        <is>
          <t>W8: Legacy Decommissioning Readiness Package</t>
        </is>
      </c>
      <c r="C78" s="144" t="inlineStr">
        <is>
          <t>PwC / IT / Finance</t>
        </is>
      </c>
      <c r="D78" s="200" t="n">
        <v>45943</v>
      </c>
      <c r="E78" s="200" t="n">
        <v>45947</v>
      </c>
      <c r="F78" s="141" t="inlineStr">
        <is>
          <t>Planned</t>
        </is>
      </c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</row>
    <row r="79" ht="14" customHeight="1">
      <c r="A79" s="137" t="n">
        <v>69</v>
      </c>
      <c r="B79" s="146" t="inlineStr">
        <is>
          <t xml:space="preserve">         Legacy data archival confirmation — final snapshot extracted &amp; stored</t>
        </is>
      </c>
      <c r="C79" s="139" t="inlineStr">
        <is>
          <t>IT</t>
        </is>
      </c>
      <c r="D79" s="201" t="n">
        <v>45943</v>
      </c>
      <c r="E79" s="201" t="n">
        <v>45947</v>
      </c>
      <c r="F79" s="141" t="inlineStr">
        <is>
          <t>Planned</t>
        </is>
      </c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</row>
    <row r="80" ht="14" customHeight="1">
      <c r="A80" s="142" t="n">
        <v>70</v>
      </c>
      <c r="B80" s="143" t="inlineStr">
        <is>
          <t xml:space="preserve">         Legacy system decommission plan — confirmed timeline, data retention, access revocation</t>
        </is>
      </c>
      <c r="C80" s="144" t="inlineStr">
        <is>
          <t>IT / Compliance</t>
        </is>
      </c>
      <c r="D80" s="201" t="n">
        <v>45943</v>
      </c>
      <c r="E80" s="201" t="n">
        <v>45947</v>
      </c>
      <c r="F80" s="141" t="inlineStr">
        <is>
          <t>Planned</t>
        </is>
      </c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</row>
    <row r="81" ht="14" customHeight="1">
      <c r="A81" s="137" t="n">
        <v>71</v>
      </c>
      <c r="B81" s="146" t="inlineStr">
        <is>
          <t xml:space="preserve">         Compliance &amp; audit confirmation — all parallel run evidence package compiled</t>
        </is>
      </c>
      <c r="C81" s="139" t="inlineStr">
        <is>
          <t>Compliance / PwC PMO</t>
        </is>
      </c>
      <c r="D81" s="201" t="n">
        <v>45943</v>
      </c>
      <c r="E81" s="201" t="n">
        <v>45947</v>
      </c>
      <c r="F81" s="141" t="inlineStr">
        <is>
          <t>Planned</t>
        </is>
      </c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</row>
    <row r="82" ht="14" customHeight="1">
      <c r="A82" s="142" t="n">
        <v>72</v>
      </c>
      <c r="B82" s="143" t="inlineStr">
        <is>
          <t xml:space="preserve">         EPM: Disable Parallel_Run scenario — lock &amp; archive in Oracle Planning</t>
        </is>
      </c>
      <c r="C82" s="144" t="inlineStr">
        <is>
          <t>PwC</t>
        </is>
      </c>
      <c r="D82" s="201" t="n">
        <v>45947</v>
      </c>
      <c r="E82" s="201" t="n">
        <v>45947</v>
      </c>
      <c r="F82" s="141" t="inlineStr">
        <is>
          <t>Planned</t>
        </is>
      </c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</row>
    <row r="83" ht="14" customHeight="1">
      <c r="A83" s="137" t="n">
        <v>73</v>
      </c>
      <c r="B83" s="146" t="inlineStr">
        <is>
          <t xml:space="preserve">         EPM: Remove PR_Comparison form from production user access</t>
        </is>
      </c>
      <c r="C83" s="139" t="inlineStr">
        <is>
          <t>PwC / IT</t>
        </is>
      </c>
      <c r="D83" s="201" t="n">
        <v>45947</v>
      </c>
      <c r="E83" s="201" t="n">
        <v>45947</v>
      </c>
      <c r="F83" s="141" t="inlineStr">
        <is>
          <t>Planned</t>
        </is>
      </c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</row>
    <row r="84" ht="14" customHeight="1">
      <c r="A84" s="142" t="n">
        <v>74</v>
      </c>
      <c r="B84" s="143" t="inlineStr">
        <is>
          <t xml:space="preserve">         Variance Analysis &amp; Remediation Log — FINAL (all items closed or accepted)</t>
        </is>
      </c>
      <c r="C84" s="144" t="inlineStr">
        <is>
          <t>Finance / PwC PMO</t>
        </is>
      </c>
      <c r="D84" s="201" t="n">
        <v>45945</v>
      </c>
      <c r="E84" s="201" t="n">
        <v>45947</v>
      </c>
      <c r="F84" s="141" t="inlineStr">
        <is>
          <t>Planned</t>
        </is>
      </c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</row>
    <row r="85" ht="19" customHeight="1">
      <c r="A85" s="136" t="inlineStr">
        <is>
          <t xml:space="preserve">  PARALLEL RUN EXIT  (Oct 20–21)  —  Sign-Off &amp; Legacy Decommission Authorization</t>
        </is>
      </c>
    </row>
    <row r="86" ht="14" customHeight="1">
      <c r="A86" s="137" t="n">
        <v>75</v>
      </c>
      <c r="B86" s="138" t="inlineStr">
        <is>
          <t>Final Parallel Run Exit Meeting &amp; Sign-Off Package</t>
        </is>
      </c>
      <c r="C86" s="139" t="inlineStr">
        <is>
          <t>CFO / Sponsor / CIO</t>
        </is>
      </c>
      <c r="D86" s="200" t="n">
        <v>45950</v>
      </c>
      <c r="E86" s="200" t="n">
        <v>45951</v>
      </c>
      <c r="F86" s="141" t="inlineStr">
        <is>
          <t>Planned</t>
        </is>
      </c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</row>
    <row r="87" ht="14" customHeight="1">
      <c r="A87" s="142" t="n">
        <v>76</v>
      </c>
      <c r="B87" s="143" t="inlineStr">
        <is>
          <t xml:space="preserve">         Final SteerCo: Parallel Run exit presentation — 9-week scorecard</t>
        </is>
      </c>
      <c r="C87" s="144" t="inlineStr">
        <is>
          <t>PwC PMO</t>
        </is>
      </c>
      <c r="D87" s="201" t="n">
        <v>45950</v>
      </c>
      <c r="E87" s="201" t="n">
        <v>45950</v>
      </c>
      <c r="F87" s="141" t="inlineStr">
        <is>
          <t>Planned</t>
        </is>
      </c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</row>
    <row r="88" ht="14" customHeight="1">
      <c r="A88" s="137" t="n">
        <v>77</v>
      </c>
      <c r="B88" s="146" t="inlineStr">
        <is>
          <t xml:space="preserve">         Parallel Run Sign-Off Document — CFO signature required</t>
        </is>
      </c>
      <c r="C88" s="139" t="inlineStr">
        <is>
          <t>CFO</t>
        </is>
      </c>
      <c r="D88" s="201" t="n">
        <v>45951</v>
      </c>
      <c r="E88" s="201" t="n">
        <v>45951</v>
      </c>
      <c r="F88" s="141" t="inlineStr">
        <is>
          <t>Planned</t>
        </is>
      </c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</row>
    <row r="89" ht="14" customHeight="1">
      <c r="A89" s="142" t="n">
        <v>78</v>
      </c>
      <c r="B89" s="143" t="inlineStr">
        <is>
          <t xml:space="preserve">         Legacy Decommissioning Authorization — CIO formal approval</t>
        </is>
      </c>
      <c r="C89" s="144" t="inlineStr">
        <is>
          <t>CIO / Compliance</t>
        </is>
      </c>
      <c r="D89" s="201" t="n">
        <v>45951</v>
      </c>
      <c r="E89" s="201" t="n">
        <v>45951</v>
      </c>
      <c r="F89" s="141" t="inlineStr">
        <is>
          <t>Planned</t>
        </is>
      </c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</row>
    <row r="90" ht="14" customHeight="1">
      <c r="A90" s="137" t="n">
        <v>79</v>
      </c>
      <c r="B90" s="146" t="inlineStr">
        <is>
          <t xml:space="preserve">         Parallel Run closure — all ADO tickets closed or transitioned to Evolve backlog</t>
        </is>
      </c>
      <c r="C90" s="139" t="inlineStr">
        <is>
          <t>PwC PMO</t>
        </is>
      </c>
      <c r="D90" s="201" t="n">
        <v>45951</v>
      </c>
      <c r="E90" s="201" t="n">
        <v>45951</v>
      </c>
      <c r="F90" s="141" t="inlineStr">
        <is>
          <t>Planned</t>
        </is>
      </c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</row>
  </sheetData>
  <mergeCells count="13">
    <mergeCell ref="A85:P85"/>
    <mergeCell ref="I3:M3"/>
    <mergeCell ref="A1:P1"/>
    <mergeCell ref="A23:P23"/>
    <mergeCell ref="A56:P56"/>
    <mergeCell ref="A71:P71"/>
    <mergeCell ref="A6:P6"/>
    <mergeCell ref="A4:F4"/>
    <mergeCell ref="A3:F3"/>
    <mergeCell ref="G3:H3"/>
    <mergeCell ref="N3:P3"/>
    <mergeCell ref="A41:P41"/>
    <mergeCell ref="A2:P2"/>
  </mergeCells>
  <conditionalFormatting sqref="G7:P7">
    <cfRule type="expression" priority="1" dxfId="7">
      <formula>=AND($D7&lt;&gt;"",$E7&lt;&gt;"",G$4&gt;=$D7,G$4&lt;=$E7)</formula>
    </cfRule>
  </conditionalFormatting>
  <conditionalFormatting sqref="G8:P8">
    <cfRule type="expression" priority="2" dxfId="7">
      <formula>=AND($D8&lt;&gt;"",$E8&lt;&gt;"",G$4&gt;=$D8,G$4&lt;=$E8)</formula>
    </cfRule>
  </conditionalFormatting>
  <conditionalFormatting sqref="G9:P9">
    <cfRule type="expression" priority="3" dxfId="7">
      <formula>=AND($D9&lt;&gt;"",$E9&lt;&gt;"",G$4&gt;=$D9,G$4&lt;=$E9)</formula>
    </cfRule>
  </conditionalFormatting>
  <conditionalFormatting sqref="G10:P10">
    <cfRule type="expression" priority="4" dxfId="7">
      <formula>=AND($D10&lt;&gt;"",$E10&lt;&gt;"",G$4&gt;=$D10,G$4&lt;=$E10)</formula>
    </cfRule>
  </conditionalFormatting>
  <conditionalFormatting sqref="G11:P11">
    <cfRule type="expression" priority="5" dxfId="7">
      <formula>=AND($D11&lt;&gt;"",$E11&lt;&gt;"",G$4&gt;=$D11,G$4&lt;=$E11)</formula>
    </cfRule>
  </conditionalFormatting>
  <conditionalFormatting sqref="G12:P12">
    <cfRule type="expression" priority="6" dxfId="7">
      <formula>=AND($D12&lt;&gt;"",$E12&lt;&gt;"",G$4&gt;=$D12,G$4&lt;=$E12)</formula>
    </cfRule>
  </conditionalFormatting>
  <conditionalFormatting sqref="G13:P13">
    <cfRule type="expression" priority="7" dxfId="7">
      <formula>=AND($D13&lt;&gt;"",$E13&lt;&gt;"",G$4&gt;=$D13,G$4&lt;=$E13)</formula>
    </cfRule>
  </conditionalFormatting>
  <conditionalFormatting sqref="G14:P14">
    <cfRule type="expression" priority="8" dxfId="7">
      <formula>=AND($D14&lt;&gt;"",$E14&lt;&gt;"",G$4&gt;=$D14,G$4&lt;=$E14)</formula>
    </cfRule>
  </conditionalFormatting>
  <conditionalFormatting sqref="G15:P15">
    <cfRule type="expression" priority="9" dxfId="7">
      <formula>=AND($D15&lt;&gt;"",$E15&lt;&gt;"",G$4&gt;=$D15,G$4&lt;=$E15)</formula>
    </cfRule>
  </conditionalFormatting>
  <conditionalFormatting sqref="G16:P16">
    <cfRule type="expression" priority="10" dxfId="7">
      <formula>=AND($D16&lt;&gt;"",$E16&lt;&gt;"",G$4&gt;=$D16,G$4&lt;=$E16)</formula>
    </cfRule>
  </conditionalFormatting>
  <conditionalFormatting sqref="G17:P17">
    <cfRule type="expression" priority="11" dxfId="7">
      <formula>=AND($D17&lt;&gt;"",$E17&lt;&gt;"",G$4&gt;=$D17,G$4&lt;=$E17)</formula>
    </cfRule>
  </conditionalFormatting>
  <conditionalFormatting sqref="G18:P18">
    <cfRule type="expression" priority="12" dxfId="7">
      <formula>=AND($D18&lt;&gt;"",$E18&lt;&gt;"",G$4&gt;=$D18,G$4&lt;=$E18)</formula>
    </cfRule>
  </conditionalFormatting>
  <conditionalFormatting sqref="G19:P19">
    <cfRule type="expression" priority="13" dxfId="7">
      <formula>=AND($D19&lt;&gt;"",$E19&lt;&gt;"",G$4&gt;=$D19,G$4&lt;=$E19)</formula>
    </cfRule>
  </conditionalFormatting>
  <conditionalFormatting sqref="G20:P20">
    <cfRule type="expression" priority="14" dxfId="7">
      <formula>=AND($D20&lt;&gt;"",$E20&lt;&gt;"",G$4&gt;=$D20,G$4&lt;=$E20)</formula>
    </cfRule>
  </conditionalFormatting>
  <conditionalFormatting sqref="G21:P21">
    <cfRule type="expression" priority="15" dxfId="7">
      <formula>=AND($D21&lt;&gt;"",$E21&lt;&gt;"",G$4&gt;=$D21,G$4&lt;=$E21)</formula>
    </cfRule>
  </conditionalFormatting>
  <conditionalFormatting sqref="G22:P22">
    <cfRule type="expression" priority="16" dxfId="7">
      <formula>=AND($D22&lt;&gt;"",$E22&lt;&gt;"",G$4&gt;=$D22,G$4&lt;=$E22)</formula>
    </cfRule>
  </conditionalFormatting>
  <conditionalFormatting sqref="G24:P24">
    <cfRule type="expression" priority="17" dxfId="7">
      <formula>=AND($D24&lt;&gt;"",$E24&lt;&gt;"",G$4&gt;=$D24,G$4&lt;=$E24)</formula>
    </cfRule>
  </conditionalFormatting>
  <conditionalFormatting sqref="G25:P25">
    <cfRule type="expression" priority="18" dxfId="7">
      <formula>=AND($D25&lt;&gt;"",$E25&lt;&gt;"",G$4&gt;=$D25,G$4&lt;=$E25)</formula>
    </cfRule>
  </conditionalFormatting>
  <conditionalFormatting sqref="G26:P26">
    <cfRule type="expression" priority="19" dxfId="7">
      <formula>=AND($D26&lt;&gt;"",$E26&lt;&gt;"",G$4&gt;=$D26,G$4&lt;=$E26)</formula>
    </cfRule>
  </conditionalFormatting>
  <conditionalFormatting sqref="G27:P27">
    <cfRule type="expression" priority="20" dxfId="7">
      <formula>=AND($D27&lt;&gt;"",$E27&lt;&gt;"",G$4&gt;=$D27,G$4&lt;=$E27)</formula>
    </cfRule>
  </conditionalFormatting>
  <conditionalFormatting sqref="G28:P28">
    <cfRule type="expression" priority="21" dxfId="7">
      <formula>=AND($D28&lt;&gt;"",$E28&lt;&gt;"",G$4&gt;=$D28,G$4&lt;=$E28)</formula>
    </cfRule>
  </conditionalFormatting>
  <conditionalFormatting sqref="G29:P29">
    <cfRule type="expression" priority="22" dxfId="7">
      <formula>=AND($D29&lt;&gt;"",$E29&lt;&gt;"",G$4&gt;=$D29,G$4&lt;=$E29)</formula>
    </cfRule>
  </conditionalFormatting>
  <conditionalFormatting sqref="G30:P30">
    <cfRule type="expression" priority="23" dxfId="7">
      <formula>=AND($D30&lt;&gt;"",$E30&lt;&gt;"",G$4&gt;=$D30,G$4&lt;=$E30)</formula>
    </cfRule>
  </conditionalFormatting>
  <conditionalFormatting sqref="G31:P31">
    <cfRule type="expression" priority="24" dxfId="7">
      <formula>=AND($D31&lt;&gt;"",$E31&lt;&gt;"",G$4&gt;=$D31,G$4&lt;=$E31)</formula>
    </cfRule>
  </conditionalFormatting>
  <conditionalFormatting sqref="G32:P32">
    <cfRule type="expression" priority="25" dxfId="7">
      <formula>=AND($D32&lt;&gt;"",$E32&lt;&gt;"",G$4&gt;=$D32,G$4&lt;=$E32)</formula>
    </cfRule>
  </conditionalFormatting>
  <conditionalFormatting sqref="G33:P33">
    <cfRule type="expression" priority="26" dxfId="7">
      <formula>=AND($D33&lt;&gt;"",$E33&lt;&gt;"",G$4&gt;=$D33,G$4&lt;=$E33)</formula>
    </cfRule>
  </conditionalFormatting>
  <conditionalFormatting sqref="G34:P34">
    <cfRule type="expression" priority="27" dxfId="7">
      <formula>=AND($D34&lt;&gt;"",$E34&lt;&gt;"",G$4&gt;=$D34,G$4&lt;=$E34)</formula>
    </cfRule>
  </conditionalFormatting>
  <conditionalFormatting sqref="G35:P35">
    <cfRule type="expression" priority="28" dxfId="7">
      <formula>=AND($D35&lt;&gt;"",$E35&lt;&gt;"",G$4&gt;=$D35,G$4&lt;=$E35)</formula>
    </cfRule>
  </conditionalFormatting>
  <conditionalFormatting sqref="G36:P36">
    <cfRule type="expression" priority="29" dxfId="7">
      <formula>=AND($D36&lt;&gt;"",$E36&lt;&gt;"",G$4&gt;=$D36,G$4&lt;=$E36)</formula>
    </cfRule>
  </conditionalFormatting>
  <conditionalFormatting sqref="G37:P37">
    <cfRule type="expression" priority="30" dxfId="7">
      <formula>=AND($D37&lt;&gt;"",$E37&lt;&gt;"",G$4&gt;=$D37,G$4&lt;=$E37)</formula>
    </cfRule>
  </conditionalFormatting>
  <conditionalFormatting sqref="G38:P38">
    <cfRule type="expression" priority="31" dxfId="7">
      <formula>=AND($D38&lt;&gt;"",$E38&lt;&gt;"",G$4&gt;=$D38,G$4&lt;=$E38)</formula>
    </cfRule>
  </conditionalFormatting>
  <conditionalFormatting sqref="G39:P39">
    <cfRule type="expression" priority="32" dxfId="7">
      <formula>=AND($D39&lt;&gt;"",$E39&lt;&gt;"",G$4&gt;=$D39,G$4&lt;=$E39)</formula>
    </cfRule>
  </conditionalFormatting>
  <conditionalFormatting sqref="G40:P40">
    <cfRule type="expression" priority="33" dxfId="7">
      <formula>=AND($D40&lt;&gt;"",$E40&lt;&gt;"",G$4&gt;=$D40,G$4&lt;=$E40)</formula>
    </cfRule>
  </conditionalFormatting>
  <conditionalFormatting sqref="G42:P42">
    <cfRule type="expression" priority="34" dxfId="7">
      <formula>=AND($D42&lt;&gt;"",$E42&lt;&gt;"",G$4&gt;=$D42,G$4&lt;=$E42)</formula>
    </cfRule>
  </conditionalFormatting>
  <conditionalFormatting sqref="G43:P43">
    <cfRule type="expression" priority="35" dxfId="7">
      <formula>=AND($D43&lt;&gt;"",$E43&lt;&gt;"",G$4&gt;=$D43,G$4&lt;=$E43)</formula>
    </cfRule>
  </conditionalFormatting>
  <conditionalFormatting sqref="G44:P44">
    <cfRule type="expression" priority="36" dxfId="7">
      <formula>=AND($D44&lt;&gt;"",$E44&lt;&gt;"",G$4&gt;=$D44,G$4&lt;=$E44)</formula>
    </cfRule>
  </conditionalFormatting>
  <conditionalFormatting sqref="G45:P45">
    <cfRule type="expression" priority="37" dxfId="7">
      <formula>=AND($D45&lt;&gt;"",$E45&lt;&gt;"",G$4&gt;=$D45,G$4&lt;=$E45)</formula>
    </cfRule>
  </conditionalFormatting>
  <conditionalFormatting sqref="G46:P46">
    <cfRule type="expression" priority="38" dxfId="7">
      <formula>=AND($D46&lt;&gt;"",$E46&lt;&gt;"",G$4&gt;=$D46,G$4&lt;=$E46)</formula>
    </cfRule>
  </conditionalFormatting>
  <conditionalFormatting sqref="G47:P47">
    <cfRule type="expression" priority="39" dxfId="7">
      <formula>=AND($D47&lt;&gt;"",$E47&lt;&gt;"",G$4&gt;=$D47,G$4&lt;=$E47)</formula>
    </cfRule>
  </conditionalFormatting>
  <conditionalFormatting sqref="G48:P48">
    <cfRule type="expression" priority="40" dxfId="7">
      <formula>=AND($D48&lt;&gt;"",$E48&lt;&gt;"",G$4&gt;=$D48,G$4&lt;=$E48)</formula>
    </cfRule>
  </conditionalFormatting>
  <conditionalFormatting sqref="G49:P49">
    <cfRule type="expression" priority="41" dxfId="7">
      <formula>=AND($D49&lt;&gt;"",$E49&lt;&gt;"",G$4&gt;=$D49,G$4&lt;=$E49)</formula>
    </cfRule>
  </conditionalFormatting>
  <conditionalFormatting sqref="G50:P50">
    <cfRule type="expression" priority="42" dxfId="7">
      <formula>=AND($D50&lt;&gt;"",$E50&lt;&gt;"",G$4&gt;=$D50,G$4&lt;=$E50)</formula>
    </cfRule>
  </conditionalFormatting>
  <conditionalFormatting sqref="G51:P51">
    <cfRule type="expression" priority="43" dxfId="7">
      <formula>=AND($D51&lt;&gt;"",$E51&lt;&gt;"",G$4&gt;=$D51,G$4&lt;=$E51)</formula>
    </cfRule>
  </conditionalFormatting>
  <conditionalFormatting sqref="G52:P52">
    <cfRule type="expression" priority="44" dxfId="7">
      <formula>=AND($D52&lt;&gt;"",$E52&lt;&gt;"",G$4&gt;=$D52,G$4&lt;=$E52)</formula>
    </cfRule>
  </conditionalFormatting>
  <conditionalFormatting sqref="G53:P53">
    <cfRule type="expression" priority="45" dxfId="7">
      <formula>=AND($D53&lt;&gt;"",$E53&lt;&gt;"",G$4&gt;=$D53,G$4&lt;=$E53)</formula>
    </cfRule>
  </conditionalFormatting>
  <conditionalFormatting sqref="G54:P54">
    <cfRule type="expression" priority="46" dxfId="7">
      <formula>=AND($D54&lt;&gt;"",$E54&lt;&gt;"",G$4&gt;=$D54,G$4&lt;=$E54)</formula>
    </cfRule>
  </conditionalFormatting>
  <conditionalFormatting sqref="G55:P55">
    <cfRule type="expression" priority="47" dxfId="7">
      <formula>=AND($D55&lt;&gt;"",$E55&lt;&gt;"",G$4&gt;=$D55,G$4&lt;=$E55)</formula>
    </cfRule>
  </conditionalFormatting>
  <conditionalFormatting sqref="G57:P57">
    <cfRule type="expression" priority="48" dxfId="7">
      <formula>=AND($D57&lt;&gt;"",$E57&lt;&gt;"",G$4&gt;=$D57,G$4&lt;=$E57)</formula>
    </cfRule>
  </conditionalFormatting>
  <conditionalFormatting sqref="G58:P58">
    <cfRule type="expression" priority="49" dxfId="7">
      <formula>=AND($D58&lt;&gt;"",$E58&lt;&gt;"",G$4&gt;=$D58,G$4&lt;=$E58)</formula>
    </cfRule>
  </conditionalFormatting>
  <conditionalFormatting sqref="G59:P59">
    <cfRule type="expression" priority="50" dxfId="7">
      <formula>=AND($D59&lt;&gt;"",$E59&lt;&gt;"",G$4&gt;=$D59,G$4&lt;=$E59)</formula>
    </cfRule>
  </conditionalFormatting>
  <conditionalFormatting sqref="G60:P60">
    <cfRule type="expression" priority="51" dxfId="7">
      <formula>=AND($D60&lt;&gt;"",$E60&lt;&gt;"",G$4&gt;=$D60,G$4&lt;=$E60)</formula>
    </cfRule>
  </conditionalFormatting>
  <conditionalFormatting sqref="G61:P61">
    <cfRule type="expression" priority="52" dxfId="7">
      <formula>=AND($D61&lt;&gt;"",$E61&lt;&gt;"",G$4&gt;=$D61,G$4&lt;=$E61)</formula>
    </cfRule>
  </conditionalFormatting>
  <conditionalFormatting sqref="G62:P62">
    <cfRule type="expression" priority="53" dxfId="7">
      <formula>=AND($D62&lt;&gt;"",$E62&lt;&gt;"",G$4&gt;=$D62,G$4&lt;=$E62)</formula>
    </cfRule>
  </conditionalFormatting>
  <conditionalFormatting sqref="G63:P63">
    <cfRule type="expression" priority="54" dxfId="7">
      <formula>=AND($D63&lt;&gt;"",$E63&lt;&gt;"",G$4&gt;=$D63,G$4&lt;=$E63)</formula>
    </cfRule>
  </conditionalFormatting>
  <conditionalFormatting sqref="G64:P64">
    <cfRule type="expression" priority="55" dxfId="7">
      <formula>=AND($D64&lt;&gt;"",$E64&lt;&gt;"",G$4&gt;=$D64,G$4&lt;=$E64)</formula>
    </cfRule>
  </conditionalFormatting>
  <conditionalFormatting sqref="G65:P65">
    <cfRule type="expression" priority="56" dxfId="7">
      <formula>=AND($D65&lt;&gt;"",$E65&lt;&gt;"",G$4&gt;=$D65,G$4&lt;=$E65)</formula>
    </cfRule>
  </conditionalFormatting>
  <conditionalFormatting sqref="G66:P66">
    <cfRule type="expression" priority="57" dxfId="7">
      <formula>=AND($D66&lt;&gt;"",$E66&lt;&gt;"",G$4&gt;=$D66,G$4&lt;=$E66)</formula>
    </cfRule>
  </conditionalFormatting>
  <conditionalFormatting sqref="G67:P67">
    <cfRule type="expression" priority="58" dxfId="7">
      <formula>=AND($D67&lt;&gt;"",$E67&lt;&gt;"",G$4&gt;=$D67,G$4&lt;=$E67)</formula>
    </cfRule>
  </conditionalFormatting>
  <conditionalFormatting sqref="G68:P68">
    <cfRule type="expression" priority="59" dxfId="7">
      <formula>=AND($D68&lt;&gt;"",$E68&lt;&gt;"",G$4&gt;=$D68,G$4&lt;=$E68)</formula>
    </cfRule>
  </conditionalFormatting>
  <conditionalFormatting sqref="G69:P69">
    <cfRule type="expression" priority="60" dxfId="7">
      <formula>=AND($D69&lt;&gt;"",$E69&lt;&gt;"",G$4&gt;=$D69,G$4&lt;=$E69)</formula>
    </cfRule>
  </conditionalFormatting>
  <conditionalFormatting sqref="G70:P70">
    <cfRule type="expression" priority="61" dxfId="7">
      <formula>=AND($D70&lt;&gt;"",$E70&lt;&gt;"",G$4&gt;=$D70,G$4&lt;=$E70)</formula>
    </cfRule>
  </conditionalFormatting>
  <conditionalFormatting sqref="G72:P72">
    <cfRule type="expression" priority="62" dxfId="7">
      <formula>=AND($D72&lt;&gt;"",$E72&lt;&gt;"",G$4&gt;=$D72,G$4&lt;=$E72)</formula>
    </cfRule>
  </conditionalFormatting>
  <conditionalFormatting sqref="G73:P73">
    <cfRule type="expression" priority="63" dxfId="7">
      <formula>=AND($D73&lt;&gt;"",$E73&lt;&gt;"",G$4&gt;=$D73,G$4&lt;=$E73)</formula>
    </cfRule>
  </conditionalFormatting>
  <conditionalFormatting sqref="G74:P74">
    <cfRule type="expression" priority="64" dxfId="7">
      <formula>=AND($D74&lt;&gt;"",$E74&lt;&gt;"",G$4&gt;=$D74,G$4&lt;=$E74)</formula>
    </cfRule>
  </conditionalFormatting>
  <conditionalFormatting sqref="G75:P75">
    <cfRule type="expression" priority="65" dxfId="7">
      <formula>=AND($D75&lt;&gt;"",$E75&lt;&gt;"",G$4&gt;=$D75,G$4&lt;=$E75)</formula>
    </cfRule>
  </conditionalFormatting>
  <conditionalFormatting sqref="G76:P76">
    <cfRule type="expression" priority="66" dxfId="7">
      <formula>=AND($D76&lt;&gt;"",$E76&lt;&gt;"",G$4&gt;=$D76,G$4&lt;=$E76)</formula>
    </cfRule>
  </conditionalFormatting>
  <conditionalFormatting sqref="G77:P77">
    <cfRule type="expression" priority="67" dxfId="7">
      <formula>=AND($D77&lt;&gt;"",$E77&lt;&gt;"",G$4&gt;=$D77,G$4&lt;=$E77)</formula>
    </cfRule>
  </conditionalFormatting>
  <conditionalFormatting sqref="G78:P78">
    <cfRule type="expression" priority="68" dxfId="7">
      <formula>=AND($D78&lt;&gt;"",$E78&lt;&gt;"",G$4&gt;=$D78,G$4&lt;=$E78)</formula>
    </cfRule>
  </conditionalFormatting>
  <conditionalFormatting sqref="G79:P79">
    <cfRule type="expression" priority="69" dxfId="7">
      <formula>=AND($D79&lt;&gt;"",$E79&lt;&gt;"",G$4&gt;=$D79,G$4&lt;=$E79)</formula>
    </cfRule>
  </conditionalFormatting>
  <conditionalFormatting sqref="G80:P80">
    <cfRule type="expression" priority="70" dxfId="7">
      <formula>=AND($D80&lt;&gt;"",$E80&lt;&gt;"",G$4&gt;=$D80,G$4&lt;=$E80)</formula>
    </cfRule>
  </conditionalFormatting>
  <conditionalFormatting sqref="G81:P81">
    <cfRule type="expression" priority="71" dxfId="7">
      <formula>=AND($D81&lt;&gt;"",$E81&lt;&gt;"",G$4&gt;=$D81,G$4&lt;=$E81)</formula>
    </cfRule>
  </conditionalFormatting>
  <conditionalFormatting sqref="G82:P82">
    <cfRule type="expression" priority="72" dxfId="7">
      <formula>=AND($D82&lt;&gt;"",$E82&lt;&gt;"",G$4&gt;=$D82,G$4&lt;=$E82)</formula>
    </cfRule>
  </conditionalFormatting>
  <conditionalFormatting sqref="G83:P83">
    <cfRule type="expression" priority="73" dxfId="7">
      <formula>=AND($D83&lt;&gt;"",$E83&lt;&gt;"",G$4&gt;=$D83,G$4&lt;=$E83)</formula>
    </cfRule>
  </conditionalFormatting>
  <conditionalFormatting sqref="G84:P84">
    <cfRule type="expression" priority="74" dxfId="7">
      <formula>=AND($D84&lt;&gt;"",$E84&lt;&gt;"",G$4&gt;=$D84,G$4&lt;=$E84)</formula>
    </cfRule>
  </conditionalFormatting>
  <conditionalFormatting sqref="G86:P86">
    <cfRule type="expression" priority="75" dxfId="2">
      <formula>=AND($D86&lt;&gt;"",$E86&lt;&gt;"",G$4&gt;=$D86,G$4&lt;=$E86)</formula>
    </cfRule>
  </conditionalFormatting>
  <conditionalFormatting sqref="G87:P87">
    <cfRule type="expression" priority="76" dxfId="2">
      <formula>=AND($D87&lt;&gt;"",$E87&lt;&gt;"",G$4&gt;=$D87,G$4&lt;=$E87)</formula>
    </cfRule>
  </conditionalFormatting>
  <conditionalFormatting sqref="G88:P88">
    <cfRule type="expression" priority="77" dxfId="2">
      <formula>=AND($D88&lt;&gt;"",$E88&lt;&gt;"",G$4&gt;=$D88,G$4&lt;=$E88)</formula>
    </cfRule>
  </conditionalFormatting>
  <conditionalFormatting sqref="G89:P89">
    <cfRule type="expression" priority="78" dxfId="2">
      <formula>=AND($D89&lt;&gt;"",$E89&lt;&gt;"",G$4&gt;=$D89,G$4&lt;=$E89)</formula>
    </cfRule>
  </conditionalFormatting>
  <conditionalFormatting sqref="G90:P90">
    <cfRule type="expression" priority="79" dxfId="2">
      <formula>=AND($D90&lt;&gt;"",$E90&lt;&gt;"",G$4&gt;=$D90,G$4&lt;=$E90)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2" customWidth="1" min="3" max="3"/>
    <col width="22" customWidth="1" min="4" max="4"/>
    <col width="18" customWidth="1" min="5" max="5"/>
  </cols>
  <sheetData>
    <row r="1" ht="32" customHeight="1">
      <c r="A1" s="130" t="inlineStr">
        <is>
          <t xml:space="preserve">  PARALLEL RUN — GOVERNANCE, VARIANCE FRAMEWORK &amp; EXIT CRITERIA  |  Oracle EPM WFP  |  Aug 21 – Oct 21</t>
        </is>
      </c>
    </row>
    <row r="3" ht="20" customHeight="1">
      <c r="A3" s="136" t="inlineStr">
        <is>
          <t xml:space="preserve">  1. PARALLEL RUN OBJECTIVES</t>
        </is>
      </c>
    </row>
    <row r="4" ht="16" customHeight="1">
      <c r="A4" s="148" t="inlineStr">
        <is>
          <t>OBJ-01</t>
        </is>
      </c>
      <c r="B4" s="149" t="inlineStr">
        <is>
          <t>Validate financial accuracy</t>
        </is>
      </c>
      <c r="C4" s="149" t="inlineStr">
        <is>
          <t>Confirm EPM compensation, HC, and OPEX G&amp;A outputs match legacy system results within defined tolerance thresholds</t>
        </is>
      </c>
    </row>
    <row r="5" ht="16" customHeight="1">
      <c r="A5" s="150" t="inlineStr">
        <is>
          <t>OBJ-02</t>
        </is>
      </c>
      <c r="B5" s="151" t="inlineStr">
        <is>
          <t>Validate calculation consistency</t>
        </is>
      </c>
      <c r="C5" s="151" t="inlineStr">
        <is>
          <t>Verify all 20 Groovy calc rules produce consistent outputs across all planning scenarios (Budget, Forecast, Actuals)</t>
        </is>
      </c>
    </row>
    <row r="6" ht="16" customHeight="1">
      <c r="A6" s="148" t="inlineStr">
        <is>
          <t>OBJ-03</t>
        </is>
      </c>
      <c r="B6" s="149" t="inlineStr">
        <is>
          <t>Confirm reporting parity</t>
        </is>
      </c>
      <c r="C6" s="149" t="inlineStr">
        <is>
          <t>Validate EPM management reports (NR) match legacy finance reports on all key metrics and line items</t>
        </is>
      </c>
    </row>
    <row r="7" ht="16" customHeight="1">
      <c r="A7" s="150" t="inlineStr">
        <is>
          <t>OBJ-04</t>
        </is>
      </c>
      <c r="B7" s="151" t="inlineStr">
        <is>
          <t>Identify &amp; remediate defects</t>
        </is>
      </c>
      <c r="C7" s="151" t="inlineStr">
        <is>
          <t>Surface residual configuration defects or data mapping issues and resolve before legacy decommission</t>
        </is>
      </c>
    </row>
    <row r="8" ht="16" customHeight="1">
      <c r="A8" s="148" t="inlineStr">
        <is>
          <t>OBJ-05</t>
        </is>
      </c>
      <c r="B8" s="149" t="inlineStr">
        <is>
          <t>Build business confidence</t>
        </is>
      </c>
      <c r="C8" s="149" t="inlineStr">
        <is>
          <t>Provide Finance, HR, and FP&amp;A teams with 9 weeks of validated production output to drive adoption and trust</t>
        </is>
      </c>
    </row>
    <row r="9" ht="16" customHeight="1">
      <c r="A9" s="150" t="inlineStr">
        <is>
          <t>OBJ-06</t>
        </is>
      </c>
      <c r="B9" s="151" t="inlineStr">
        <is>
          <t>Authorize legacy decommission</t>
        </is>
      </c>
      <c r="C9" s="151" t="inlineStr">
        <is>
          <t>Generate audit-defensible evidence package confirming readiness for full legacy system decommissioning</t>
        </is>
      </c>
    </row>
    <row r="11" ht="20" customHeight="1">
      <c r="A11" s="136" t="inlineStr">
        <is>
          <t xml:space="preserve">  2. VARIANCE TOLERANCE FRAMEWORK  (Finance-Grade — Regulated Environment)</t>
        </is>
      </c>
    </row>
    <row r="12" ht="16" customHeight="1">
      <c r="A12" s="152" t="inlineStr">
        <is>
          <t xml:space="preserve">  2a. Variance Severity Classification</t>
        </is>
      </c>
    </row>
    <row r="13" ht="14" customHeight="1">
      <c r="A13" s="153" t="inlineStr">
        <is>
          <t>Severity</t>
        </is>
      </c>
      <c r="B13" s="153" t="inlineStr">
        <is>
          <t>Threshold ($ Impact)</t>
        </is>
      </c>
      <c r="C13" s="153" t="inlineStr">
        <is>
          <t>Threshold (FTE / %)</t>
        </is>
      </c>
      <c r="D13" s="153" t="inlineStr">
        <is>
          <t>Required Action</t>
        </is>
      </c>
      <c r="E13" s="153" t="inlineStr">
        <is>
          <t>Resolution SLA</t>
        </is>
      </c>
    </row>
    <row r="14" ht="36" customHeight="1">
      <c r="A14" s="154" t="inlineStr">
        <is>
          <t>P1 — CRITICAL</t>
        </is>
      </c>
      <c r="B14" s="155" t="inlineStr">
        <is>
          <t>&gt; $10,000 per position OR &gt; 5% FTE variance</t>
        </is>
      </c>
      <c r="C14" s="155" t="inlineStr">
        <is>
          <t>&gt; 5% dept FTE gap</t>
        </is>
      </c>
      <c r="D14" s="155" t="inlineStr">
        <is>
          <t>Immediate escalation to PMO Lead &amp; CFO within 4 hours; EPM config hotfix required; PROD deployment within 48hr</t>
        </is>
      </c>
      <c r="E14" s="155" t="inlineStr">
        <is>
          <t>4 hours escalation; 48hr resolution</t>
        </is>
      </c>
    </row>
    <row r="15" ht="36" customHeight="1">
      <c r="A15" s="156" t="inlineStr">
        <is>
          <t>P2 — SIGNIFICANT</t>
        </is>
      </c>
      <c r="B15" s="157" t="inlineStr">
        <is>
          <t>$5,000–$10,000 per position OR 2–5% FTE variance</t>
        </is>
      </c>
      <c r="C15" s="157" t="inlineStr">
        <is>
          <t>2–5% dept FTE gap</t>
        </is>
      </c>
      <c r="D15" s="157" t="inlineStr">
        <is>
          <t>Finance Lead + PwC notified within 1 business day; root cause investigation; fix or formal acceptance with written rationale</t>
        </is>
      </c>
      <c r="E15" s="157" t="inlineStr">
        <is>
          <t>1 business day</t>
        </is>
      </c>
    </row>
    <row r="16" ht="36" customHeight="1">
      <c r="A16" s="158" t="inlineStr">
        <is>
          <t>P3 — MINOR</t>
        </is>
      </c>
      <c r="B16" s="159" t="inlineStr">
        <is>
          <t>&lt; $5,000 per position OR &lt; 2% FTE variance</t>
        </is>
      </c>
      <c r="C16" s="159" t="inlineStr">
        <is>
          <t>&lt; 2% dept FTE gap</t>
        </is>
      </c>
      <c r="D16" s="159" t="inlineStr">
        <is>
          <t>Logged in variance log; reviewed at weekly checkpoint; closed with Finance acceptance or config fix</t>
        </is>
      </c>
      <c r="E16" s="159" t="inlineStr">
        <is>
          <t>Weekly checkpoint</t>
        </is>
      </c>
    </row>
    <row r="17" ht="36" customHeight="1">
      <c r="A17" s="160" t="inlineStr">
        <is>
          <t>ACCEPTED DESIGN DIFF</t>
        </is>
      </c>
      <c r="B17" s="161" t="inlineStr">
        <is>
          <t>Any amount — known and documented</t>
        </is>
      </c>
      <c r="C17" s="161" t="inlineStr">
        <is>
          <t>N/A</t>
        </is>
      </c>
      <c r="D17" s="161" t="inlineStr">
        <is>
          <t>Formally documented as 'Design Difference' (not a defect) — e.g., BOR below-the-line ICP redesign; requires Finance Lead sign-off</t>
        </is>
      </c>
      <c r="E17" s="161" t="inlineStr">
        <is>
          <t>Sign-off at first occurrence</t>
        </is>
      </c>
    </row>
    <row r="19" ht="16" customHeight="1">
      <c r="A19" s="152" t="inlineStr">
        <is>
          <t xml:space="preserve">  2b. Variance Log Required Fields (ADO / JIRA — each variance record)</t>
        </is>
      </c>
    </row>
    <row r="20">
      <c r="A20" s="153" t="inlineStr">
        <is>
          <t>Field</t>
        </is>
      </c>
      <c r="B20" s="153" t="inlineStr">
        <is>
          <t>Description / Accepted Values</t>
        </is>
      </c>
    </row>
    <row r="21" ht="20" customHeight="1">
      <c r="A21" s="162" t="inlineStr">
        <is>
          <t>VAR-ID</t>
        </is>
      </c>
      <c r="B21" s="92" t="inlineStr">
        <is>
          <t>Auto-generated: PR-YYYY-NNN (e.g., PR-2025-001)</t>
        </is>
      </c>
      <c r="C21" s="202" t="n"/>
      <c r="D21" s="202" t="n"/>
      <c r="E21" s="203" t="n"/>
    </row>
    <row r="22" ht="20" customHeight="1">
      <c r="A22" s="163" t="inlineStr">
        <is>
          <t>Week</t>
        </is>
      </c>
      <c r="B22" s="96" t="inlineStr">
        <is>
          <t>W1 through W9 — week in which variance first identified</t>
        </is>
      </c>
      <c r="C22" s="202" t="n"/>
      <c r="D22" s="202" t="n"/>
      <c r="E22" s="203" t="n"/>
    </row>
    <row r="23" ht="20" customHeight="1">
      <c r="A23" s="162" t="inlineStr">
        <is>
          <t>Process Area</t>
        </is>
      </c>
      <c r="B23" s="92" t="inlineStr">
        <is>
          <t>WFP — Compensation | WFP — Headcount | OPEX G&amp;A | BOR/ICP Allocation | Reporting</t>
        </is>
      </c>
      <c r="C23" s="202" t="n"/>
      <c r="D23" s="202" t="n"/>
      <c r="E23" s="203" t="n"/>
    </row>
    <row r="24" ht="20" customHeight="1">
      <c r="A24" s="163" t="inlineStr">
        <is>
          <t>Data Domain</t>
        </is>
      </c>
      <c r="B24" s="96" t="inlineStr">
        <is>
          <t>Position | Department | Cost Centre | Scenario | Period</t>
        </is>
      </c>
      <c r="C24" s="202" t="n"/>
      <c r="D24" s="202" t="n"/>
      <c r="E24" s="203" t="n"/>
    </row>
    <row r="25" ht="20" customHeight="1">
      <c r="A25" s="162" t="inlineStr">
        <is>
          <t>EPM Value</t>
        </is>
      </c>
      <c r="B25" s="92" t="inlineStr">
        <is>
          <t>EPM Cloud output: exact figure from CUST_ParallelRunCheck output</t>
        </is>
      </c>
      <c r="C25" s="202" t="n"/>
      <c r="D25" s="202" t="n"/>
      <c r="E25" s="203" t="n"/>
    </row>
    <row r="26" ht="20" customHeight="1">
      <c r="A26" s="163" t="inlineStr">
        <is>
          <t>Legacy Value</t>
        </is>
      </c>
      <c r="B26" s="96" t="inlineStr">
        <is>
          <t>Legacy system output: exact figure from legacy extract</t>
        </is>
      </c>
      <c r="C26" s="202" t="n"/>
      <c r="D26" s="202" t="n"/>
      <c r="E26" s="203" t="n"/>
    </row>
    <row r="27" ht="20" customHeight="1">
      <c r="A27" s="162" t="inlineStr">
        <is>
          <t>$ Variance</t>
        </is>
      </c>
      <c r="B27" s="92">
        <f>EPM Value − Legacy Value (negative = EPM lower)</f>
        <v/>
      </c>
      <c r="C27" s="202" t="n"/>
      <c r="D27" s="202" t="n"/>
      <c r="E27" s="203" t="n"/>
    </row>
    <row r="28" ht="20" customHeight="1">
      <c r="A28" s="163" t="inlineStr">
        <is>
          <t>% Variance</t>
        </is>
      </c>
      <c r="B28" s="96">
        <f>|$ Variance| / Legacy Value × 100</f>
        <v/>
      </c>
      <c r="C28" s="202" t="n"/>
      <c r="D28" s="202" t="n"/>
      <c r="E28" s="203" t="n"/>
    </row>
    <row r="29" ht="20" customHeight="1">
      <c r="A29" s="162" t="inlineStr">
        <is>
          <t>FTE Variance</t>
        </is>
      </c>
      <c r="B29" s="92" t="inlineStr">
        <is>
          <t>Applicable for HC comparisons only (EPM FTE − Legacy FTE)</t>
        </is>
      </c>
      <c r="C29" s="202" t="n"/>
      <c r="D29" s="202" t="n"/>
      <c r="E29" s="203" t="n"/>
    </row>
    <row r="30" ht="20" customHeight="1">
      <c r="A30" s="163" t="inlineStr">
        <is>
          <t>Severity</t>
        </is>
      </c>
      <c r="B30" s="96" t="inlineStr">
        <is>
          <t>P1 / P2 / P3 / Accepted Design Difference</t>
        </is>
      </c>
      <c r="C30" s="202" t="n"/>
      <c r="D30" s="202" t="n"/>
      <c r="E30" s="203" t="n"/>
    </row>
    <row r="31" ht="20" customHeight="1">
      <c r="A31" s="162" t="inlineStr">
        <is>
          <t>Root Cause Category</t>
        </is>
      </c>
      <c r="B31" s="92" t="inlineStr">
        <is>
          <t>(A) EPM calc logic  (B) Legacy data quality  (C) Design difference  (D) Timing difference  (E) Data load error</t>
        </is>
      </c>
      <c r="C31" s="202" t="n"/>
      <c r="D31" s="202" t="n"/>
      <c r="E31" s="203" t="n"/>
    </row>
    <row r="32" ht="20" customHeight="1">
      <c r="A32" s="163" t="inlineStr">
        <is>
          <t>Root Cause Detail</t>
        </is>
      </c>
      <c r="B32" s="96" t="inlineStr">
        <is>
          <t>Full description of root cause once investigated</t>
        </is>
      </c>
      <c r="C32" s="202" t="n"/>
      <c r="D32" s="202" t="n"/>
      <c r="E32" s="203" t="n"/>
    </row>
    <row r="33" ht="20" customHeight="1">
      <c r="A33" s="162" t="inlineStr">
        <is>
          <t>Status</t>
        </is>
      </c>
      <c r="B33" s="92" t="inlineStr">
        <is>
          <t>Open | In Investigation | Fix in Progress | Fixed-Pending Retest | Closed-Fixed | Closed-Accepted</t>
        </is>
      </c>
      <c r="C33" s="202" t="n"/>
      <c r="D33" s="202" t="n"/>
      <c r="E33" s="203" t="n"/>
    </row>
    <row r="34" ht="20" customHeight="1">
      <c r="A34" s="163" t="inlineStr">
        <is>
          <t>Owner</t>
        </is>
      </c>
      <c r="B34" s="96" t="inlineStr">
        <is>
          <t>Name of individual responsible for resolution</t>
        </is>
      </c>
      <c r="C34" s="202" t="n"/>
      <c r="D34" s="202" t="n"/>
      <c r="E34" s="203" t="n"/>
    </row>
    <row r="35" ht="20" customHeight="1">
      <c r="A35" s="162" t="inlineStr">
        <is>
          <t>Resolution Date</t>
        </is>
      </c>
      <c r="B35" s="92" t="inlineStr">
        <is>
          <t>Actual date closed (vs target SLA)</t>
        </is>
      </c>
      <c r="C35" s="202" t="n"/>
      <c r="D35" s="202" t="n"/>
      <c r="E35" s="203" t="n"/>
    </row>
    <row r="36" ht="20" customHeight="1">
      <c r="A36" s="163" t="inlineStr">
        <is>
          <t>Evidence Reference</t>
        </is>
      </c>
      <c r="B36" s="96" t="inlineStr">
        <is>
          <t>SharePoint link to supporting extract, calc trace, or screenshot</t>
        </is>
      </c>
      <c r="C36" s="202" t="n"/>
      <c r="D36" s="202" t="n"/>
      <c r="E36" s="203" t="n"/>
    </row>
    <row r="37" ht="20" customHeight="1">
      <c r="A37" s="162" t="inlineStr">
        <is>
          <t>Sign-Off</t>
        </is>
      </c>
      <c r="B37" s="92" t="inlineStr">
        <is>
          <t>Finance Lead initials + date for P1/P2 accepted or closed items</t>
        </is>
      </c>
      <c r="C37" s="202" t="n"/>
      <c r="D37" s="202" t="n"/>
      <c r="E37" s="203" t="n"/>
    </row>
    <row r="39" ht="20" customHeight="1">
      <c r="A39" s="136" t="inlineStr">
        <is>
          <t xml:space="preserve">  3. GOVERNANCE FRAMEWORK  —  Weekly Checkpoint Structure</t>
        </is>
      </c>
    </row>
    <row r="40" ht="16" customHeight="1">
      <c r="A40" s="152" t="inlineStr">
        <is>
          <t xml:space="preserve">  3a. Checkpoint Meeting Cadence &amp; Required Inputs/Outputs</t>
        </is>
      </c>
    </row>
    <row r="41">
      <c r="A41" s="153" t="inlineStr">
        <is>
          <t>Checkpoint</t>
        </is>
      </c>
      <c r="B41" s="153" t="inlineStr">
        <is>
          <t>Attendees</t>
        </is>
      </c>
      <c r="C41" s="153" t="inlineStr">
        <is>
          <t>Required Inputs</t>
        </is>
      </c>
      <c r="D41" s="153" t="inlineStr">
        <is>
          <t>Key Outputs / Decisions</t>
        </is>
      </c>
      <c r="E41" s="153" t="inlineStr">
        <is>
          <t>Escalation Trigger</t>
        </is>
      </c>
    </row>
    <row r="42" ht="44" customHeight="1">
      <c r="A42" s="92" t="inlineStr">
        <is>
          <t>Weekly Working Group
(Every Monday, 9am)</t>
        </is>
      </c>
      <c r="B42" s="92" t="inlineStr">
        <is>
          <t>PwC PMO Lead, Finance Mgr, FP&amp;A Lead, IT Rep</t>
        </is>
      </c>
      <c r="C42" s="92" t="inlineStr">
        <is>
          <t>CUST_ParallelRunCheck output; updated variance log; EPM dashboard screenshot; legacy extract</t>
        </is>
      </c>
      <c r="D42" s="92" t="inlineStr">
        <is>
          <t>Variance log updated; P1/P2 triage decisions; config fix work orders issued; W-status report draft</t>
        </is>
      </c>
      <c r="E42" s="92" t="inlineStr">
        <is>
          <t>Any new P1 → immediate CFO notification (same day)</t>
        </is>
      </c>
    </row>
    <row r="43" ht="44" customHeight="1">
      <c r="A43" s="96" t="inlineStr">
        <is>
          <t>Bi-Weekly SteerCo
(Weeks 3, 5, 7, 9)</t>
        </is>
      </c>
      <c r="B43" s="96" t="inlineStr">
        <is>
          <t>Sponsor, CFO, CIO, PwC PMO Lead, Finance Lead</t>
        </is>
      </c>
      <c r="C43" s="96" t="inlineStr">
        <is>
          <t>Weekly status report trend; open P1/P2 log; confidence trend; variance reduction metrics</t>
        </is>
      </c>
      <c r="D43" s="96" t="inlineStr">
        <is>
          <t>Formal decisions on P1/P2 escalations; Go/No-Go assessment; extension decisions if needed</t>
        </is>
      </c>
      <c r="E43" s="96" t="inlineStr">
        <is>
          <t>P1 unresolved after 48hr → mandatory SteerCo escalation</t>
        </is>
      </c>
    </row>
    <row r="44" ht="44" customHeight="1">
      <c r="A44" s="92" t="inlineStr">
        <is>
          <t>Mid-Point Review
(Week 5 — Sep 22)</t>
        </is>
      </c>
      <c r="B44" s="92" t="inlineStr">
        <is>
          <t>Full SteerCo + Compliance rep</t>
        </is>
      </c>
      <c r="C44" s="92" t="inlineStr">
        <is>
          <t>5-week cumulative variance trend; open issues; user confidence survey results; reporting parity status</t>
        </is>
      </c>
      <c r="D44" s="92" t="inlineStr">
        <is>
          <t>Preliminary Go/No-Go assessment; risk log updated; extension decision if required</t>
        </is>
      </c>
      <c r="E44" s="92" t="inlineStr">
        <is>
          <t>P1 count &gt; 3 at midpoint → formal extension consideration</t>
        </is>
      </c>
    </row>
    <row r="45" ht="44" customHeight="1">
      <c r="A45" s="96" t="inlineStr">
        <is>
          <t>Exit Gate Meeting
(Oct 20)</t>
        </is>
      </c>
      <c r="B45" s="96" t="inlineStr">
        <is>
          <t>Sponsor, CFO, CIO, Compliance, PwC PMO Lead</t>
        </is>
      </c>
      <c r="C45" s="96" t="inlineStr">
        <is>
          <t>Final validation report; closed variance log; decommission readiness package; compliance confirmation</t>
        </is>
      </c>
      <c r="D45" s="96" t="inlineStr">
        <is>
          <t>Formal Parallel Run Sign-Off (3 signatures); Legacy Decommission Authorization issued</t>
        </is>
      </c>
      <c r="E45" s="96" t="inlineStr">
        <is>
          <t>Any unresolved P1 → exit deferred; extension required</t>
        </is>
      </c>
    </row>
    <row r="47" ht="20" customHeight="1">
      <c r="A47" s="136" t="inlineStr">
        <is>
          <t xml:space="preserve">  4. PARALLEL RUN EXIT CRITERIA  —  All Must Be Met Before Legacy Decommission</t>
        </is>
      </c>
    </row>
    <row r="48">
      <c r="A48" s="153" t="inlineStr">
        <is>
          <t>#</t>
        </is>
      </c>
      <c r="B48" s="153" t="inlineStr">
        <is>
          <t>Exit Criterion</t>
        </is>
      </c>
      <c r="C48" s="153" t="inlineStr">
        <is>
          <t>Measurement</t>
        </is>
      </c>
      <c r="D48" s="153" t="inlineStr">
        <is>
          <t>Evidence Required</t>
        </is>
      </c>
      <c r="E48" s="153" t="inlineStr">
        <is>
          <t>Sign-Off Owner</t>
        </is>
      </c>
    </row>
    <row r="49" ht="32" customHeight="1">
      <c r="A49" s="93" t="inlineStr">
        <is>
          <t>EC-01</t>
        </is>
      </c>
      <c r="B49" s="92" t="inlineStr">
        <is>
          <t>Zero open P1 variances</t>
        </is>
      </c>
      <c r="C49" s="92" t="inlineStr">
        <is>
          <t>P1 count in variance log = 0</t>
        </is>
      </c>
      <c r="D49" s="92" t="inlineStr">
        <is>
          <t>ADO variance log export showing all P1 items 'Closed-Fixed' or 'Closed-Accepted'</t>
        </is>
      </c>
      <c r="E49" s="92" t="inlineStr">
        <is>
          <t>CFO + PwC PMO</t>
        </is>
      </c>
    </row>
    <row r="50" ht="32" customHeight="1">
      <c r="A50" s="97" t="inlineStr">
        <is>
          <t>EC-02</t>
        </is>
      </c>
      <c r="B50" s="96" t="inlineStr">
        <is>
          <t>Zero open P2 variances OR all formally accepted</t>
        </is>
      </c>
      <c r="C50" s="96" t="inlineStr">
        <is>
          <t>P2 count = 0 OR each P2 has Finance Lead sign-off with written rationale</t>
        </is>
      </c>
      <c r="D50" s="96" t="inlineStr">
        <is>
          <t>ADO variance log; signed acceptance forms per P2 item</t>
        </is>
      </c>
      <c r="E50" s="96" t="inlineStr">
        <is>
          <t>Finance Lead</t>
        </is>
      </c>
    </row>
    <row r="51" ht="32" customHeight="1">
      <c r="A51" s="93" t="inlineStr">
        <is>
          <t>EC-03</t>
        </is>
      </c>
      <c r="B51" s="92" t="inlineStr">
        <is>
          <t>All 9 weekly checkpoint reports completed</t>
        </is>
      </c>
      <c r="C51" s="92" t="inlineStr">
        <is>
          <t>9 status reports issued and acknowledged</t>
        </is>
      </c>
      <c r="D51" s="92" t="inlineStr">
        <is>
          <t>SharePoint: PR_Status_Reports folder — 9 files with distribution log</t>
        </is>
      </c>
      <c r="E51" s="92" t="inlineStr">
        <is>
          <t>PwC PMO</t>
        </is>
      </c>
    </row>
    <row r="52" ht="32" customHeight="1">
      <c r="A52" s="97" t="inlineStr">
        <is>
          <t>EC-04</t>
        </is>
      </c>
      <c r="B52" s="96" t="inlineStr">
        <is>
          <t>Reporting parity confirmed</t>
        </is>
      </c>
      <c r="C52" s="96" t="inlineStr">
        <is>
          <t>EPM NR report vs legacy report comparison: &lt;2% variance on all key metrics</t>
        </is>
      </c>
      <c r="D52" s="96" t="inlineStr">
        <is>
          <t>Report comparison workbook; Finance sign-off on each comparison</t>
        </is>
      </c>
      <c r="E52" s="96" t="inlineStr">
        <is>
          <t>Finance Lead / FP&amp;A</t>
        </is>
      </c>
    </row>
    <row r="53" ht="32" customHeight="1">
      <c r="A53" s="93" t="inlineStr">
        <is>
          <t>EC-05</t>
        </is>
      </c>
      <c r="B53" s="92" t="inlineStr">
        <is>
          <t>CUST_ParallelRunCheck final run: no flags</t>
        </is>
      </c>
      <c r="C53" s="92" t="inlineStr">
        <is>
          <t>Final W8/W9 run produces 0 P1/P2 flags across all departments</t>
        </is>
      </c>
      <c r="D53" s="92" t="inlineStr">
        <is>
          <t>Exported CUST_ParallelRunCheck output (CSV) — stored in audit evidence folder</t>
        </is>
      </c>
      <c r="E53" s="92" t="inlineStr">
        <is>
          <t>PwC Lead</t>
        </is>
      </c>
    </row>
    <row r="54" ht="32" customHeight="1">
      <c r="A54" s="97" t="inlineStr">
        <is>
          <t>EC-06</t>
        </is>
      </c>
      <c r="B54" s="96" t="inlineStr">
        <is>
          <t>User confidence confirmed</t>
        </is>
      </c>
      <c r="C54" s="96" t="inlineStr">
        <is>
          <t>Finance / HR / FP&amp;A survey: ≥80% 'Confident' or 'Very Confident' in EPM accuracy</t>
        </is>
      </c>
      <c r="D54" s="96" t="inlineStr">
        <is>
          <t>OCM survey results export with summary stats</t>
        </is>
      </c>
      <c r="E54" s="96" t="inlineStr">
        <is>
          <t>PwC OCM</t>
        </is>
      </c>
    </row>
    <row r="55" ht="32" customHeight="1">
      <c r="A55" s="93" t="inlineStr">
        <is>
          <t>EC-07</t>
        </is>
      </c>
      <c r="B55" s="92" t="inlineStr">
        <is>
          <t>Legacy data archival complete</t>
        </is>
      </c>
      <c r="C55" s="92" t="inlineStr">
        <is>
          <t>Full legacy data snapshot extracted, validated, and stored per retention policy</t>
        </is>
      </c>
      <c r="D55" s="92" t="inlineStr">
        <is>
          <t>IT: archived file manifest + checksum; Compliance sign-off</t>
        </is>
      </c>
      <c r="E55" s="92" t="inlineStr">
        <is>
          <t>IT Mgr + Compliance</t>
        </is>
      </c>
    </row>
    <row r="56" ht="32" customHeight="1">
      <c r="A56" s="97" t="inlineStr">
        <is>
          <t>EC-08</t>
        </is>
      </c>
      <c r="B56" s="96" t="inlineStr">
        <is>
          <t>Compliance &amp; audit evidence package complete</t>
        </is>
      </c>
      <c r="C56" s="96" t="inlineStr">
        <is>
          <t>All required evidence compiled, referenced, and accessible</t>
        </is>
      </c>
      <c r="D56" s="96" t="inlineStr">
        <is>
          <t>SharePoint: PR_Audit_Evidence folder — complete and indexed</t>
        </is>
      </c>
      <c r="E56" s="96" t="inlineStr">
        <is>
          <t>Compliance / PwC PMO</t>
        </is>
      </c>
    </row>
    <row r="57" ht="32" customHeight="1">
      <c r="A57" s="93" t="inlineStr">
        <is>
          <t>EC-09</t>
        </is>
      </c>
      <c r="B57" s="92" t="inlineStr">
        <is>
          <t>CFO Parallel Run Sign-Off obtained</t>
        </is>
      </c>
      <c r="C57" s="92" t="inlineStr">
        <is>
          <t>Signed PR_SignOff_Form with CFO, Sponsor, CIO signatures (3 required)</t>
        </is>
      </c>
      <c r="D57" s="92" t="inlineStr">
        <is>
          <t>Physical or DocuSign: PR_SignOff_Form_FINAL</t>
        </is>
      </c>
      <c r="E57" s="92" t="inlineStr">
        <is>
          <t>CFO + Sponsor + CIO</t>
        </is>
      </c>
    </row>
    <row r="58" ht="32" customHeight="1">
      <c r="A58" s="97" t="inlineStr">
        <is>
          <t>EC-10</t>
        </is>
      </c>
      <c r="B58" s="96" t="inlineStr">
        <is>
          <t>Legacy Decommission Authorization issued</t>
        </is>
      </c>
      <c r="C58" s="96" t="inlineStr">
        <is>
          <t>CIO formal written authorization to proceed with legacy decommission</t>
        </is>
      </c>
      <c r="D58" s="96" t="inlineStr">
        <is>
          <t>Signed: Legacy_Decommission_Authorization.docx</t>
        </is>
      </c>
      <c r="E58" s="96" t="inlineStr">
        <is>
          <t>CIO + Compliance</t>
        </is>
      </c>
    </row>
    <row r="60" ht="20" customHeight="1">
      <c r="A60" s="136" t="inlineStr">
        <is>
          <t xml:space="preserve">  5. PARALLEL RUN DELIVERABLES REGISTER</t>
        </is>
      </c>
    </row>
    <row r="61">
      <c r="A61" s="153" t="inlineStr">
        <is>
          <t>Deliverable ID</t>
        </is>
      </c>
      <c r="B61" s="153" t="inlineStr">
        <is>
          <t>Deliverable Name</t>
        </is>
      </c>
      <c r="C61" s="153" t="inlineStr">
        <is>
          <t>Owner</t>
        </is>
      </c>
      <c r="D61" s="153" t="inlineStr">
        <is>
          <t>Due Date</t>
        </is>
      </c>
      <c r="E61" s="153" t="inlineStr">
        <is>
          <t>Format</t>
        </is>
      </c>
    </row>
    <row r="62" ht="18" customHeight="1">
      <c r="A62" s="164" t="inlineStr">
        <is>
          <t>DEL-PR-01</t>
        </is>
      </c>
      <c r="B62" s="165" t="inlineStr">
        <is>
          <t>Parallel Run Plan v1.0 (signed)</t>
        </is>
      </c>
      <c r="C62" s="165" t="inlineStr">
        <is>
          <t>PwC PMO</t>
        </is>
      </c>
      <c r="D62" s="165" t="inlineStr">
        <is>
          <t>18-Aug-25</t>
        </is>
      </c>
      <c r="E62" s="165" t="inlineStr">
        <is>
          <t>Word / PDF</t>
        </is>
      </c>
    </row>
    <row r="63" ht="18" customHeight="1">
      <c r="A63" s="166" t="inlineStr">
        <is>
          <t>DEL-PR-02</t>
        </is>
      </c>
      <c r="B63" s="167" t="inlineStr">
        <is>
          <t>Variance Tolerance Threshold Confirmation (CFO sign-off)</t>
        </is>
      </c>
      <c r="C63" s="167" t="inlineStr">
        <is>
          <t>CFO / PwC</t>
        </is>
      </c>
      <c r="D63" s="167" t="inlineStr">
        <is>
          <t>18-Aug-25</t>
        </is>
      </c>
      <c r="E63" s="167" t="inlineStr">
        <is>
          <t>Email / PDF</t>
        </is>
      </c>
    </row>
    <row r="64" ht="18" customHeight="1">
      <c r="A64" s="164" t="inlineStr">
        <is>
          <t>DEL-PR-03</t>
        </is>
      </c>
      <c r="B64" s="165" t="inlineStr">
        <is>
          <t>EPM: Parallel_Run Scenario configured in Oracle Planning</t>
        </is>
      </c>
      <c r="C64" s="165" t="inlineStr">
        <is>
          <t>PwC</t>
        </is>
      </c>
      <c r="D64" s="165" t="inlineStr">
        <is>
          <t>19-Aug-25</t>
        </is>
      </c>
      <c r="E64" s="165" t="inlineStr">
        <is>
          <t>Config screenshot</t>
        </is>
      </c>
    </row>
    <row r="65" ht="18" customHeight="1">
      <c r="A65" s="166" t="inlineStr">
        <is>
          <t>DEL-PR-04</t>
        </is>
      </c>
      <c r="B65" s="167" t="inlineStr">
        <is>
          <t>EPM: CUST_ParallelRunCheck deployed to PROD + threshold params set</t>
        </is>
      </c>
      <c r="C65" s="167" t="inlineStr">
        <is>
          <t>PwC</t>
        </is>
      </c>
      <c r="D65" s="167" t="inlineStr">
        <is>
          <t>19-Aug-25</t>
        </is>
      </c>
      <c r="E65" s="167" t="inlineStr">
        <is>
          <t>Deployment log</t>
        </is>
      </c>
    </row>
    <row r="66" ht="18" customHeight="1">
      <c r="A66" s="164" t="inlineStr">
        <is>
          <t>DEL-PR-05</t>
        </is>
      </c>
      <c r="B66" s="165" t="inlineStr">
        <is>
          <t>EPM: PR_Comparison form deployed (Finance user access)</t>
        </is>
      </c>
      <c r="C66" s="165" t="inlineStr">
        <is>
          <t>PwC</t>
        </is>
      </c>
      <c r="D66" s="165" t="inlineStr">
        <is>
          <t>20-Aug-25</t>
        </is>
      </c>
      <c r="E66" s="165" t="inlineStr">
        <is>
          <t>Oracle Planning form</t>
        </is>
      </c>
    </row>
    <row r="67" ht="18" customHeight="1">
      <c r="A67" s="166" t="inlineStr">
        <is>
          <t>DEL-PR-06</t>
        </is>
      </c>
      <c r="B67" s="167" t="inlineStr">
        <is>
          <t>EPM: PR_Variance_Dashboard deployed to PROD</t>
        </is>
      </c>
      <c r="C67" s="167" t="inlineStr">
        <is>
          <t>PwC</t>
        </is>
      </c>
      <c r="D67" s="167" t="inlineStr">
        <is>
          <t>20-Aug-25</t>
        </is>
      </c>
      <c r="E67" s="167" t="inlineStr">
        <is>
          <t>Oracle Dashboard</t>
        </is>
      </c>
    </row>
    <row r="68" ht="18" customHeight="1">
      <c r="A68" s="164" t="inlineStr">
        <is>
          <t>DEL-PR-07</t>
        </is>
      </c>
      <c r="B68" s="165" t="inlineStr">
        <is>
          <t>EPM: EPM Automate nightly PR extract job configured</t>
        </is>
      </c>
      <c r="C68" s="165" t="inlineStr">
        <is>
          <t>IT / PwC</t>
        </is>
      </c>
      <c r="D68" s="165" t="inlineStr">
        <is>
          <t>20-Aug-25</t>
        </is>
      </c>
      <c r="E68" s="165" t="inlineStr">
        <is>
          <t>Automate job log</t>
        </is>
      </c>
    </row>
    <row r="69" ht="18" customHeight="1">
      <c r="A69" s="166" t="inlineStr">
        <is>
          <t>DEL-PR-08</t>
        </is>
      </c>
      <c r="B69" s="167" t="inlineStr">
        <is>
          <t>EPM: Oracle NR — PR_Weekly_Report template activated</t>
        </is>
      </c>
      <c r="C69" s="167" t="inlineStr">
        <is>
          <t>PwC</t>
        </is>
      </c>
      <c r="D69" s="167" t="inlineStr">
        <is>
          <t>20-Aug-25</t>
        </is>
      </c>
      <c r="E69" s="167" t="inlineStr">
        <is>
          <t>NR template</t>
        </is>
      </c>
    </row>
    <row r="70" ht="18" customHeight="1">
      <c r="A70" s="164" t="inlineStr">
        <is>
          <t>DEL-PR-09</t>
        </is>
      </c>
      <c r="B70" s="165" t="inlineStr">
        <is>
          <t>Legacy extract scripts operational (automated)</t>
        </is>
      </c>
      <c r="C70" s="165" t="inlineStr">
        <is>
          <t>IT</t>
        </is>
      </c>
      <c r="D70" s="165" t="inlineStr">
        <is>
          <t>20-Aug-25</t>
        </is>
      </c>
      <c r="E70" s="165" t="inlineStr">
        <is>
          <t>Python/SQL script</t>
        </is>
      </c>
    </row>
    <row r="71" ht="18" customHeight="1">
      <c r="A71" s="166" t="inlineStr">
        <is>
          <t>DEL-PR-10</t>
        </is>
      </c>
      <c r="B71" s="167" t="inlineStr">
        <is>
          <t>Parallel Run Variance Log — initialized (ADO/JIRA)</t>
        </is>
      </c>
      <c r="C71" s="167" t="inlineStr">
        <is>
          <t>PwC PMO</t>
        </is>
      </c>
      <c r="D71" s="167" t="inlineStr">
        <is>
          <t>21-Aug-25</t>
        </is>
      </c>
      <c r="E71" s="167" t="inlineStr">
        <is>
          <t>ADO board</t>
        </is>
      </c>
    </row>
    <row r="72" ht="18" customHeight="1">
      <c r="A72" s="164" t="inlineStr">
        <is>
          <t>DEL-PR-11</t>
        </is>
      </c>
      <c r="B72" s="165" t="inlineStr">
        <is>
          <t>Weekly Status Reports (W1–W9)</t>
        </is>
      </c>
      <c r="C72" s="165" t="inlineStr">
        <is>
          <t>PwC PMO</t>
        </is>
      </c>
      <c r="D72" s="165" t="inlineStr">
        <is>
          <t>Each Monday</t>
        </is>
      </c>
      <c r="E72" s="165" t="inlineStr">
        <is>
          <t>Word — 1pg per week</t>
        </is>
      </c>
    </row>
    <row r="73" ht="18" customHeight="1">
      <c r="A73" s="166" t="inlineStr">
        <is>
          <t>DEL-PR-12</t>
        </is>
      </c>
      <c r="B73" s="167" t="inlineStr">
        <is>
          <t>SteerCo Parallel Run Summaries (W3, W5, W7, W9)</t>
        </is>
      </c>
      <c r="C73" s="167" t="inlineStr">
        <is>
          <t>PwC PMO</t>
        </is>
      </c>
      <c r="D73" s="167" t="inlineStr">
        <is>
          <t>Bi-weekly</t>
        </is>
      </c>
      <c r="E73" s="167" t="inlineStr">
        <is>
          <t>PowerPoint 3-5 slides</t>
        </is>
      </c>
    </row>
    <row r="74" ht="18" customHeight="1">
      <c r="A74" s="164" t="inlineStr">
        <is>
          <t>DEL-PR-13</t>
        </is>
      </c>
      <c r="B74" s="165" t="inlineStr">
        <is>
          <t>Mid-Point Review Package (Week 5 — Sep 22)</t>
        </is>
      </c>
      <c r="C74" s="165" t="inlineStr">
        <is>
          <t>PwC PMO</t>
        </is>
      </c>
      <c r="D74" s="165" t="inlineStr">
        <is>
          <t>22-Sep-25</t>
        </is>
      </c>
      <c r="E74" s="165" t="inlineStr">
        <is>
          <t>PowerPoint 5 slides + data</t>
        </is>
      </c>
    </row>
    <row r="75" ht="18" customHeight="1">
      <c r="A75" s="166" t="inlineStr">
        <is>
          <t>DEL-PR-14</t>
        </is>
      </c>
      <c r="B75" s="167" t="inlineStr">
        <is>
          <t>CUST_ParallelRunCheck weekly output exports (W1–W8)</t>
        </is>
      </c>
      <c r="C75" s="167" t="inlineStr">
        <is>
          <t>PwC / IT</t>
        </is>
      </c>
      <c r="D75" s="167" t="inlineStr">
        <is>
          <t>Weekly</t>
        </is>
      </c>
      <c r="E75" s="167" t="inlineStr">
        <is>
          <t>CSV + summary Excel</t>
        </is>
      </c>
    </row>
    <row r="76" ht="18" customHeight="1">
      <c r="A76" s="164" t="inlineStr">
        <is>
          <t>DEL-PR-15</t>
        </is>
      </c>
      <c r="B76" s="165" t="inlineStr">
        <is>
          <t>Parallel Run Validation Report — FINAL consolidated (9-week)</t>
        </is>
      </c>
      <c r="C76" s="165" t="inlineStr">
        <is>
          <t>PwC PMO</t>
        </is>
      </c>
      <c r="D76" s="165" t="inlineStr">
        <is>
          <t>17-Oct-25</t>
        </is>
      </c>
      <c r="E76" s="165" t="inlineStr">
        <is>
          <t>Word / PDF</t>
        </is>
      </c>
    </row>
    <row r="77" ht="18" customHeight="1">
      <c r="A77" s="166" t="inlineStr">
        <is>
          <t>DEL-PR-16</t>
        </is>
      </c>
      <c r="B77" s="167" t="inlineStr">
        <is>
          <t>Variance Analysis &amp; Remediation Log — FINAL (all items closed)</t>
        </is>
      </c>
      <c r="C77" s="167" t="inlineStr">
        <is>
          <t>Finance / PwC</t>
        </is>
      </c>
      <c r="D77" s="167" t="inlineStr">
        <is>
          <t>17-Oct-25</t>
        </is>
      </c>
      <c r="E77" s="167" t="inlineStr">
        <is>
          <t>Excel / ADO export</t>
        </is>
      </c>
    </row>
    <row r="78" ht="18" customHeight="1">
      <c r="A78" s="164" t="inlineStr">
        <is>
          <t>DEL-PR-17</t>
        </is>
      </c>
      <c r="B78" s="165" t="inlineStr">
        <is>
          <t>Legacy Data Archival Confirmation (IT manifest + checksum)</t>
        </is>
      </c>
      <c r="C78" s="165" t="inlineStr">
        <is>
          <t>IT</t>
        </is>
      </c>
      <c r="D78" s="165" t="inlineStr">
        <is>
          <t>17-Oct-25</t>
        </is>
      </c>
      <c r="E78" s="165" t="inlineStr">
        <is>
          <t>IT report</t>
        </is>
      </c>
    </row>
    <row r="79" ht="18" customHeight="1">
      <c r="A79" s="166" t="inlineStr">
        <is>
          <t>DEL-PR-18</t>
        </is>
      </c>
      <c r="B79" s="167" t="inlineStr">
        <is>
          <t>Legacy System Decommission Plan v1.0</t>
        </is>
      </c>
      <c r="C79" s="167" t="inlineStr">
        <is>
          <t>IT / Compliance</t>
        </is>
      </c>
      <c r="D79" s="167" t="inlineStr">
        <is>
          <t>17-Oct-25</t>
        </is>
      </c>
      <c r="E79" s="167" t="inlineStr">
        <is>
          <t>Word / PDF</t>
        </is>
      </c>
    </row>
    <row r="80" ht="18" customHeight="1">
      <c r="A80" s="164" t="inlineStr">
        <is>
          <t>DEL-PR-19</t>
        </is>
      </c>
      <c r="B80" s="165" t="inlineStr">
        <is>
          <t>Compliance &amp; Audit Evidence Package (indexed SharePoint folder)</t>
        </is>
      </c>
      <c r="C80" s="165" t="inlineStr">
        <is>
          <t>PwC PMO / Compliance</t>
        </is>
      </c>
      <c r="D80" s="165" t="inlineStr">
        <is>
          <t>17-Oct-25</t>
        </is>
      </c>
      <c r="E80" s="165" t="inlineStr">
        <is>
          <t>SharePoint folder</t>
        </is>
      </c>
    </row>
    <row r="81" ht="18" customHeight="1">
      <c r="A81" s="166" t="inlineStr">
        <is>
          <t>DEL-PR-20</t>
        </is>
      </c>
      <c r="B81" s="167" t="inlineStr">
        <is>
          <t>Parallel Run Exit Presentation (final SteerCo — Oct 20)</t>
        </is>
      </c>
      <c r="C81" s="167" t="inlineStr">
        <is>
          <t>PwC PMO</t>
        </is>
      </c>
      <c r="D81" s="167" t="inlineStr">
        <is>
          <t>20-Oct-25</t>
        </is>
      </c>
      <c r="E81" s="167" t="inlineStr">
        <is>
          <t>PowerPoint</t>
        </is>
      </c>
    </row>
    <row r="82" ht="18" customHeight="1">
      <c r="A82" s="164" t="inlineStr">
        <is>
          <t>DEL-PR-21</t>
        </is>
      </c>
      <c r="B82" s="165" t="inlineStr">
        <is>
          <t>Parallel Run Sign-Off Form — FINAL (3 signatures: CFO, Sponsor, CIO)</t>
        </is>
      </c>
      <c r="C82" s="165" t="inlineStr">
        <is>
          <t>CFO Office</t>
        </is>
      </c>
      <c r="D82" s="165" t="inlineStr">
        <is>
          <t>21-Oct-25</t>
        </is>
      </c>
      <c r="E82" s="165" t="inlineStr">
        <is>
          <t>DocuSign / wet ink</t>
        </is>
      </c>
    </row>
    <row r="83" ht="18" customHeight="1">
      <c r="A83" s="166" t="inlineStr">
        <is>
          <t>DEL-PR-22</t>
        </is>
      </c>
      <c r="B83" s="167" t="inlineStr">
        <is>
          <t>Legacy Decommissioning Authorization (CIO formal approval)</t>
        </is>
      </c>
      <c r="C83" s="167" t="inlineStr">
        <is>
          <t>CIO</t>
        </is>
      </c>
      <c r="D83" s="167" t="inlineStr">
        <is>
          <t>21-Oct-25</t>
        </is>
      </c>
      <c r="E83" s="167" t="inlineStr">
        <is>
          <t>Signed letter / DocuSign</t>
        </is>
      </c>
    </row>
    <row r="84" ht="18" customHeight="1">
      <c r="A84" s="164" t="inlineStr">
        <is>
          <t>DEL-PR-23</t>
        </is>
      </c>
      <c r="B84" s="165" t="inlineStr">
        <is>
          <t>EPM: Parallel_Run scenario archived; PR forms removed from user access</t>
        </is>
      </c>
      <c r="C84" s="165" t="inlineStr">
        <is>
          <t>PwC</t>
        </is>
      </c>
      <c r="D84" s="165" t="inlineStr">
        <is>
          <t>21-Oct-25</t>
        </is>
      </c>
      <c r="E84" s="165" t="inlineStr">
        <is>
          <t>Admin confirmation</t>
        </is>
      </c>
    </row>
  </sheetData>
  <mergeCells count="26">
    <mergeCell ref="A39:E39"/>
    <mergeCell ref="A60:E60"/>
    <mergeCell ref="B30:E30"/>
    <mergeCell ref="A11:E11"/>
    <mergeCell ref="B33:E33"/>
    <mergeCell ref="A1:E1"/>
    <mergeCell ref="B24:E24"/>
    <mergeCell ref="B36:E36"/>
    <mergeCell ref="B32:E32"/>
    <mergeCell ref="B26:E26"/>
    <mergeCell ref="B35:E35"/>
    <mergeCell ref="B25:E25"/>
    <mergeCell ref="B22:E22"/>
    <mergeCell ref="A3:E3"/>
    <mergeCell ref="B31:E31"/>
    <mergeCell ref="A12:E12"/>
    <mergeCell ref="B27:E27"/>
    <mergeCell ref="B21:E21"/>
    <mergeCell ref="A47:E47"/>
    <mergeCell ref="B23:E23"/>
    <mergeCell ref="A19:E19"/>
    <mergeCell ref="B29:E29"/>
    <mergeCell ref="B37:E37"/>
    <mergeCell ref="B28:E28"/>
    <mergeCell ref="A40:E40"/>
    <mergeCell ref="B34:E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32" customWidth="1" min="4" max="4"/>
    <col width="52" customWidth="1" min="5" max="5"/>
    <col width="14" customWidth="1" min="6" max="6"/>
    <col width="14" customWidth="1" min="7" max="7"/>
    <col width="58" customWidth="1" min="8" max="8"/>
  </cols>
  <sheetData>
    <row r="1" ht="30" customHeight="1">
      <c r="A1" s="204" t="inlineStr">
        <is>
          <t xml:space="preserve">  ORACLE EPM WFP — REQUIREMENTS REGISTER  |  Position-Based Planning  |  Release 1a</t>
        </is>
      </c>
    </row>
    <row r="2" ht="16" customHeight="1">
      <c r="A2" s="153" t="inlineStr">
        <is>
          <t>Req ID</t>
        </is>
      </c>
      <c r="B2" s="153" t="inlineStr">
        <is>
          <t>Category</t>
        </is>
      </c>
      <c r="C2" s="153" t="inlineStr">
        <is>
          <t>Sub-Category</t>
        </is>
      </c>
      <c r="D2" s="153" t="inlineStr">
        <is>
          <t>Short Description</t>
        </is>
      </c>
      <c r="E2" s="153" t="inlineStr">
        <is>
          <t>Full Requirement</t>
        </is>
      </c>
      <c r="F2" s="153" t="inlineStr">
        <is>
          <t>Sprint</t>
        </is>
      </c>
      <c r="G2" s="153" t="inlineStr">
        <is>
          <t>Priority</t>
        </is>
      </c>
      <c r="H2" s="153" t="inlineStr">
        <is>
          <t>Oracle EPM Cloud Configuration Approach</t>
        </is>
      </c>
    </row>
    <row r="3" ht="42" customHeight="1">
      <c r="A3" s="186" t="inlineStr">
        <is>
          <t>WF-01</t>
        </is>
      </c>
      <c r="B3" s="186" t="inlineStr">
        <is>
          <t>Governance &amp; Controls</t>
        </is>
      </c>
      <c r="C3" s="149" t="inlineStr">
        <is>
          <t>Version Control</t>
        </is>
      </c>
      <c r="D3" s="149" t="inlineStr">
        <is>
          <t>Version control for cost centre structures</t>
        </is>
      </c>
      <c r="E3" s="149" t="inlineStr">
        <is>
          <t>Cost center hierarchies must be centrally governed and version-controlled. Ability to plan, promote, and enact a version with a new cost centre structure.</t>
        </is>
      </c>
      <c r="F3" s="205" t="inlineStr">
        <is>
          <t>Design &amp; Align</t>
        </is>
      </c>
      <c r="G3" s="206" t="inlineStr">
        <is>
          <t>P1-Must Have</t>
        </is>
      </c>
      <c r="H3" s="149" t="inlineStr">
        <is>
          <t>Oracle Planning: LCM Lifecycle Management for hierarchy snapshots. Admin → Dimension Editor: Cost Centre hierarchy versioned via Named Sets. Promote via Admin → Application Management → Migration.</t>
        </is>
      </c>
    </row>
    <row r="4" ht="42" customHeight="1">
      <c r="A4" s="184" t="inlineStr">
        <is>
          <t>WF-02</t>
        </is>
      </c>
      <c r="B4" s="184" t="inlineStr">
        <is>
          <t>Governance &amp; Controls</t>
        </is>
      </c>
      <c r="C4" s="151" t="inlineStr">
        <is>
          <t>Version Control</t>
        </is>
      </c>
      <c r="D4" s="151" t="inlineStr">
        <is>
          <t>Approval process for Final budget changes</t>
        </is>
      </c>
      <c r="E4" s="151" t="inlineStr">
        <is>
          <t>Once a Final budget version is approved, any subsequent changes must require top-of-house approval. Approval process tagging enforced.</t>
        </is>
      </c>
      <c r="F4" s="207" t="inlineStr">
        <is>
          <t>S1</t>
        </is>
      </c>
      <c r="G4" s="208" t="inlineStr">
        <is>
          <t>P1-Must Have</t>
        </is>
      </c>
      <c r="H4" s="151" t="inlineStr">
        <is>
          <t>Oracle Planning: Planning Unit Hierarchy → Top-of-house owner. Approval workflow: Status = 'Approved' locks version. Override requires Admin role + SteerCo change request. Business Rules: CUST_VersionLock checks status before allowing edit.</t>
        </is>
      </c>
    </row>
    <row r="5" ht="42" customHeight="1">
      <c r="A5" s="186" t="inlineStr">
        <is>
          <t>WF-13</t>
        </is>
      </c>
      <c r="B5" s="186" t="inlineStr">
        <is>
          <t>Governance &amp; Controls</t>
        </is>
      </c>
      <c r="C5" s="149" t="inlineStr">
        <is>
          <t>Baseline Data</t>
        </is>
      </c>
      <c r="D5" s="149" t="inlineStr">
        <is>
          <t>Traceability to Management Hierarchy</t>
        </is>
      </c>
      <c r="E5" s="149" t="inlineStr">
        <is>
          <t>Workforce Planning must support traceability of data to the Management View (Accounts).</t>
        </is>
      </c>
      <c r="F5" s="205" t="inlineStr">
        <is>
          <t>Design &amp; Align</t>
        </is>
      </c>
      <c r="G5" s="206" t="inlineStr">
        <is>
          <t>P1-Must Have</t>
        </is>
      </c>
      <c r="H5" s="149" t="inlineStr">
        <is>
          <t>Oracle Planning: Alternate hierarchy 'Management_View' on Account dimension. Smart View: XREF formula maps GL account → management category. Narrative Reporting: management grouping dimension filter on all WFP reports.</t>
        </is>
      </c>
    </row>
    <row r="6" ht="42" customHeight="1">
      <c r="A6" s="184" t="inlineStr">
        <is>
          <t>WF-14</t>
        </is>
      </c>
      <c r="B6" s="184" t="inlineStr">
        <is>
          <t>Governance &amp; Controls</t>
        </is>
      </c>
      <c r="C6" s="151" t="inlineStr">
        <is>
          <t>Baseline Data</t>
        </is>
      </c>
      <c r="D6" s="151" t="inlineStr">
        <is>
          <t>Traceability to data source</t>
        </is>
      </c>
      <c r="E6" s="151" t="inlineStr">
        <is>
          <t>Workforce Planning must support traceability of data source (e.g., Workday, PeopleFluent, manual input). Attribute on each data cell.</t>
        </is>
      </c>
      <c r="F6" s="209" t="inlineStr">
        <is>
          <t>S2</t>
        </is>
      </c>
      <c r="G6" s="208" t="inlineStr">
        <is>
          <t>P1-Must Have</t>
        </is>
      </c>
      <c r="H6" s="151" t="inlineStr">
        <is>
          <t>Oracle Planning: Custom attribute 'Data_Source' on Account or separate dimension member. EPM Data Management: load jobs stamp source tag. CUST_DataSourceTag Groovy: marks manual overrides vs system-loaded data.</t>
        </is>
      </c>
    </row>
    <row r="7" ht="42" customHeight="1">
      <c r="A7" s="186" t="inlineStr">
        <is>
          <t>WF-41</t>
        </is>
      </c>
      <c r="B7" s="186" t="inlineStr">
        <is>
          <t>Governance &amp; Controls</t>
        </is>
      </c>
      <c r="C7" s="149" t="inlineStr">
        <is>
          <t>Version Control</t>
        </is>
      </c>
      <c r="D7" s="149" t="inlineStr">
        <is>
          <t>Formal version progression Baseline→Working→Final</t>
        </is>
      </c>
      <c r="E7" s="149" t="inlineStr">
        <is>
          <t>System must enforce formal version progression: Baseline → Working → Final, with controlled submission and approval at each stage. Promote scenario selected by dept leadership.</t>
        </is>
      </c>
      <c r="F7" s="210" t="inlineStr">
        <is>
          <t>S1</t>
        </is>
      </c>
      <c r="G7" s="206" t="inlineStr">
        <is>
          <t>P1-Must Have</t>
        </is>
      </c>
      <c r="H7" s="149" t="inlineStr">
        <is>
          <t>Oracle Planning: Version dimension — Baseline (locked, read-only), Working (open submission), Draft_1/2, Final (locked post-approval). Planning Unit Hierarchy: status transitions enforced. Business Rule: CUST_VersionPromotion copies Working→Draft on submit.</t>
        </is>
      </c>
    </row>
    <row r="8" ht="42" customHeight="1">
      <c r="A8" s="184" t="inlineStr">
        <is>
          <t>WF-51</t>
        </is>
      </c>
      <c r="B8" s="184" t="inlineStr">
        <is>
          <t>Governance &amp; Controls</t>
        </is>
      </c>
      <c r="C8" s="151" t="inlineStr">
        <is>
          <t>Baseline Data</t>
        </is>
      </c>
      <c r="D8" s="151" t="inlineStr">
        <is>
          <t>Traceable and explainable calculations</t>
        </is>
      </c>
      <c r="E8" s="151" t="inlineStr">
        <is>
          <t>Workforce calculations must be traceable and explainable. Ability to see component details of the workforce modelling and costing logic.</t>
        </is>
      </c>
      <c r="F8" s="211" t="inlineStr">
        <is>
          <t>S3</t>
        </is>
      </c>
      <c r="G8" s="208" t="inlineStr">
        <is>
          <t>P1-Must Have</t>
        </is>
      </c>
      <c r="H8" s="151" t="inlineStr">
        <is>
          <t>Oracle Planning: Supporting Detail on all Groovy calc outputs. Calc Manager: Business Rule logic visible in Calc Manager console. Narrative Reporting: drill-through from summary → position → calc component.</t>
        </is>
      </c>
    </row>
    <row r="9" ht="42" customHeight="1">
      <c r="A9" s="186" t="inlineStr">
        <is>
          <t>WF-88</t>
        </is>
      </c>
      <c r="B9" s="186" t="inlineStr">
        <is>
          <t>Governance &amp; Controls</t>
        </is>
      </c>
      <c r="C9" s="149" t="inlineStr">
        <is>
          <t>Baseline Data</t>
        </is>
      </c>
      <c r="D9" s="149" t="inlineStr">
        <is>
          <t>Lock baseline — no auto-refresh once planning begins</t>
        </is>
      </c>
      <c r="E9" s="149" t="inlineStr">
        <is>
          <t>Ability to lock data once planning or forecasting begins ensuring baseline data is not automatically refreshed when a monthly data run happens.</t>
        </is>
      </c>
      <c r="F9" s="212" t="inlineStr">
        <is>
          <t>S2</t>
        </is>
      </c>
      <c r="G9" s="206" t="inlineStr">
        <is>
          <t>P1-Must Have</t>
        </is>
      </c>
      <c r="H9" s="149" t="inlineStr">
        <is>
          <t>Oracle Planning: Version 'Baseline' set to locked status after Q-minus-1 snapshot. EPM Automate: load job checks version lock flag before writing. CUST_BaselineLock Business Rule: rejects EPM DM writes to locked version.</t>
        </is>
      </c>
    </row>
    <row r="10" ht="42" customHeight="1">
      <c r="A10" s="184" t="inlineStr">
        <is>
          <t>WF-19</t>
        </is>
      </c>
      <c r="B10" s="213" t="inlineStr">
        <is>
          <t>Position-Based Planning</t>
        </is>
      </c>
      <c r="C10" s="151" t="inlineStr">
        <is>
          <t>Planning Functionality</t>
        </is>
      </c>
      <c r="D10" s="151" t="inlineStr">
        <is>
          <t>Position-based planning (below MD) + employee-based (MD+)</t>
        </is>
      </c>
      <c r="E10" s="151" t="inlineStr">
        <is>
          <t>Workforce planning must support position-based planning with traceability to employees. Staff below MD: position-based. MD and above: employee-based (actual salary, individual Employee ID).</t>
        </is>
      </c>
      <c r="F10" s="214" t="inlineStr">
        <is>
          <t>Design &amp; Align</t>
        </is>
      </c>
      <c r="G10" s="208" t="inlineStr">
        <is>
          <t>P1-Must Have</t>
        </is>
      </c>
      <c r="H10" s="151" t="inlineStr">
        <is>
          <t>Oracle Planning WFP module: Enable Position-Based Planning. Dimension: Position ID as sparse dimension. WF-19: position-employee linkage. WF-84: MD+ planning at Employee_ID level. Custom form: Position_Planning_Form with employee drill-through. Security: MD+ employee data restricted to HR Admin + CFO roles.</t>
        </is>
      </c>
    </row>
    <row r="11" ht="42" customHeight="1">
      <c r="A11" s="186" t="inlineStr">
        <is>
          <t>WF-84</t>
        </is>
      </c>
      <c r="B11" s="215" t="inlineStr">
        <is>
          <t>Position-Based Planning</t>
        </is>
      </c>
      <c r="C11" s="149" t="inlineStr">
        <is>
          <t>Planning Functionality</t>
        </is>
      </c>
      <c r="D11" s="149" t="inlineStr">
        <is>
          <t>MD+ employee-level planning (individual salary)</t>
        </is>
      </c>
      <c r="E11" s="149" t="inlineStr">
        <is>
          <t>System must support planning for MD and above roles at the individual Employee ID level (actual salary), not Position ID level. Restricted access to defined user group.</t>
        </is>
      </c>
      <c r="F11" s="210" t="inlineStr">
        <is>
          <t>S1</t>
        </is>
      </c>
      <c r="G11" s="206" t="inlineStr">
        <is>
          <t>P1-Must Have</t>
        </is>
      </c>
      <c r="H11" s="149" t="inlineStr">
        <is>
          <t>Oracle Planning: MD+ flag on Grade dimension member. CUST_MDPlusPlanning Groovy: when Grade_Flag = 'MD+', source from Employee_ID actual salary. Security: Job Role 'MD_Planner' restricted to Finance_Admin + CHRO. Data Access Filter: Employee dimension filtered by role assignment.</t>
        </is>
      </c>
    </row>
    <row r="12" ht="42" customHeight="1">
      <c r="A12" s="184" t="inlineStr">
        <is>
          <t>WF-28</t>
        </is>
      </c>
      <c r="B12" s="213" t="inlineStr">
        <is>
          <t>Position-Based Planning</t>
        </is>
      </c>
      <c r="C12" s="151" t="inlineStr">
        <is>
          <t>Position Structure</t>
        </is>
      </c>
      <c r="D12" s="151" t="inlineStr">
        <is>
          <t>Position lifecycle statuses (unfilled/filled/pending)</t>
        </is>
      </c>
      <c r="E12" s="151" t="inlineStr">
        <is>
          <t>The Workforce Planning application must support position lifecycle statuses (unfilled, filled, pending) to support planning and forecasting logic.</t>
        </is>
      </c>
      <c r="F12" s="207" t="inlineStr">
        <is>
          <t>S1</t>
        </is>
      </c>
      <c r="G12" s="208" t="inlineStr">
        <is>
          <t>P1-Must Have</t>
        </is>
      </c>
      <c r="H12" s="151" t="inlineStr">
        <is>
          <t>Oracle Planning WFP: Position Status attribute — values: Filled, Unfilled, Pending_Hire, On_Leave, Pipeline. Custom attribute on Position dimension. CUST_PositionLifecycle Groovy: routes calc logic based on Status. Forms: status-driven conditional formatting.</t>
        </is>
      </c>
    </row>
    <row r="13" ht="42" customHeight="1">
      <c r="A13" s="186" t="inlineStr">
        <is>
          <t>WF-31</t>
        </is>
      </c>
      <c r="B13" s="215" t="inlineStr">
        <is>
          <t>Position-Based Planning</t>
        </is>
      </c>
      <c r="C13" s="149" t="inlineStr">
        <is>
          <t>Planning Functionality</t>
        </is>
      </c>
      <c r="D13" s="149" t="inlineStr">
        <is>
          <t>Open new / inactivate existing positions (attrition)</t>
        </is>
      </c>
      <c r="E13" s="149" t="inlineStr">
        <is>
          <t>System must allow users to inactivate/close approved open roles for a fiscal year (roles not filled) while retaining the record for tracking and history.</t>
        </is>
      </c>
      <c r="F13" s="216" t="inlineStr">
        <is>
          <t>S4</t>
        </is>
      </c>
      <c r="G13" s="206" t="inlineStr">
        <is>
          <t>P1-Must Have</t>
        </is>
      </c>
      <c r="H13" s="149" t="inlineStr">
        <is>
          <t>Oracle Planning WFP: Position Status → Closed_Attrition. CUST_PositionAttrition Groovy: zeroes comp from effective close month; retains position member in hierarchy for history. Form: Attrition_Planning_Form with effective date input. Reports: track closed positions for retrospective analysis.</t>
        </is>
      </c>
    </row>
    <row r="14" ht="42" customHeight="1">
      <c r="A14" s="184" t="inlineStr">
        <is>
          <t>WF-37</t>
        </is>
      </c>
      <c r="B14" s="213" t="inlineStr">
        <is>
          <t>Position-Based Planning</t>
        </is>
      </c>
      <c r="C14" s="151" t="inlineStr">
        <is>
          <t>Scenarios</t>
        </is>
      </c>
      <c r="D14" s="151" t="inlineStr">
        <is>
          <t>Pipeline / proposed positions during budgeting</t>
        </is>
      </c>
      <c r="E14" s="151" t="inlineStr">
        <is>
          <t>System must allow proposed (unapproved) positions during planning and forecasting. Create planned pipeline roles, map to open/filled actuals once established in Workday.</t>
        </is>
      </c>
      <c r="F14" s="217" t="inlineStr">
        <is>
          <t>S4</t>
        </is>
      </c>
      <c r="G14" s="208" t="inlineStr">
        <is>
          <t>P1-Must Have</t>
        </is>
      </c>
      <c r="H14" s="151" t="inlineStr">
        <is>
          <t>Oracle Planning WFP: Position Status = Pipeline. CUST_PipelinePosition: calculates partial-year cost from proposed hire date. Integration: nightly match job — when Workday creates matching position, auto-update status to Filled and link Employee_ID. Pending positions visible in Position_Planning_Form with distinct color coding.</t>
        </is>
      </c>
    </row>
    <row r="15" ht="42" customHeight="1">
      <c r="A15" s="186" t="inlineStr">
        <is>
          <t>WF-52</t>
        </is>
      </c>
      <c r="B15" s="215" t="inlineStr">
        <is>
          <t>Position-Based Planning</t>
        </is>
      </c>
      <c r="C15" s="149" t="inlineStr">
        <is>
          <t>Planning Functionality</t>
        </is>
      </c>
      <c r="D15" s="149" t="inlineStr">
        <is>
          <t>Committed vs uncommitted (open) position costs</t>
        </is>
      </c>
      <c r="E15" s="149" t="inlineStr">
        <is>
          <t>System should distinguish committed vs uncommitted (open) position costs.</t>
        </is>
      </c>
      <c r="F15" s="216" t="inlineStr">
        <is>
          <t>S4</t>
        </is>
      </c>
      <c r="G15" s="218" t="inlineStr">
        <is>
          <t>P2-Should Have</t>
        </is>
      </c>
      <c r="H15" s="149" t="inlineStr">
        <is>
          <t>Oracle Planning: Custom account members — 'Committed_Cost' (filled positions) vs 'Uncommitted_Cost' (approved open positions). CUST_CommittedFlag Groovy: routes cost to committed/uncommitted account based on Position_Status. Dashboard tile: committed vs uncommitted split by dept.</t>
        </is>
      </c>
    </row>
    <row r="16" ht="42" customHeight="1">
      <c r="A16" s="184" t="inlineStr">
        <is>
          <t>WF-50</t>
        </is>
      </c>
      <c r="B16" s="213" t="inlineStr">
        <is>
          <t>Position-Based Planning</t>
        </is>
      </c>
      <c r="C16" s="151" t="inlineStr">
        <is>
          <t>Edge Cases</t>
        </is>
      </c>
      <c r="D16" s="151" t="inlineStr">
        <is>
          <t>Double-occupancy prevention (shared position HC=1)</t>
        </is>
      </c>
      <c r="E16" s="151" t="inlineStr">
        <is>
          <t>Ability to prevent double counting when two employees temporarily occupy one position (e.g., shadowing, maternity/leave). Headcount must remain at 1; costing may reflect temporary overlap.</t>
        </is>
      </c>
      <c r="F16" s="211" t="inlineStr">
        <is>
          <t>S3</t>
        </is>
      </c>
      <c r="G16" s="208" t="inlineStr">
        <is>
          <t>P1-Must Have</t>
        </is>
      </c>
      <c r="H16" s="151" t="inlineStr">
        <is>
          <t>Oracle Planning WFP: Position attribute 'Double_Occupancy_Flag'. CUST_DoubleOccupancyCheck Groovy: if Flag=Y, HC count capped at 1 for FTE metric; compensation calc sums both employee salaries for cost period. Supporting Detail: both employee IDs logged on position.</t>
        </is>
      </c>
    </row>
    <row r="17" ht="42" customHeight="1">
      <c r="A17" s="186" t="inlineStr">
        <is>
          <t>WF-64</t>
        </is>
      </c>
      <c r="B17" s="215" t="inlineStr">
        <is>
          <t>Position-Based Planning</t>
        </is>
      </c>
      <c r="C17" s="149" t="inlineStr">
        <is>
          <t>Security</t>
        </is>
      </c>
      <c r="D17" s="149" t="inlineStr">
        <is>
          <t>Drill from filled position to employee</t>
        </is>
      </c>
      <c r="E17" s="149" t="inlineStr">
        <is>
          <t>Authorized users must be able to drill from a filled position to identify the employee tagged to that position, ensuring traceability from position to employee.</t>
        </is>
      </c>
      <c r="F17" s="216" t="inlineStr">
        <is>
          <t>S4</t>
        </is>
      </c>
      <c r="G17" s="206" t="inlineStr">
        <is>
          <t>P1-Must Have</t>
        </is>
      </c>
      <c r="H17" s="149" t="inlineStr">
        <is>
          <t>Oracle Planning WFP: Position_Employee_Link dimension attribute. Forms: Smart View drill-through from Position_ID → Employee_ID detail. Security: Job Role 'HR_Admin' and 'Finance_Admin' only. Audit log: drill-through access tracked in EPM access log.</t>
        </is>
      </c>
    </row>
    <row r="18" ht="42" customHeight="1">
      <c r="A18" s="184" t="inlineStr">
        <is>
          <t>WF-92</t>
        </is>
      </c>
      <c r="B18" s="213" t="inlineStr">
        <is>
          <t>Position-Based Planning</t>
        </is>
      </c>
      <c r="C18" s="151" t="inlineStr">
        <is>
          <t>Edge Cases</t>
        </is>
      </c>
      <c r="D18" s="151" t="inlineStr">
        <is>
          <t>Retirement planning — reserve cost + reallocate dollars</t>
        </is>
      </c>
      <c r="E18" s="151" t="inlineStr">
        <is>
          <t>Plan retirements and reserve planned cost for entire year, creating ability to reallocate. Position: termination removes Employee_ID linkage, position becomes open. Deferred/VDIP costs to central cost centre.</t>
        </is>
      </c>
      <c r="F18" s="217" t="inlineStr">
        <is>
          <t>S4</t>
        </is>
      </c>
      <c r="G18" s="219" t="inlineStr">
        <is>
          <t>P2-Should Have</t>
        </is>
      </c>
      <c r="H18" s="151" t="inlineStr">
        <is>
          <t>Oracle Planning WFP: Retirement_Flag on position. CUST_RetirementCalc: full-year cost reserved until effective retirement date then zeroed. CUST_VDIPDeferral: moves deferred ICP to Central_CC post-retirement. Form: retirement date input with deferred amount calculation visible.</t>
        </is>
      </c>
    </row>
    <row r="19" ht="42" customHeight="1">
      <c r="A19" s="186" t="inlineStr">
        <is>
          <t>WF-20</t>
        </is>
      </c>
      <c r="B19" s="220" t="inlineStr">
        <is>
          <t>Metadata / Dimensions</t>
        </is>
      </c>
      <c r="C19" s="149" t="inlineStr">
        <is>
          <t>Hierarchy</t>
        </is>
      </c>
      <c r="D19" s="149" t="inlineStr">
        <is>
          <t>Consistent CC naming — employees-only cost centres</t>
        </is>
      </c>
      <c r="E19" s="149" t="inlineStr">
        <is>
          <t>WFP application must only include cost centers that house employees, not the full GL hierarchy. Must reflect same naming convention as source systems.</t>
        </is>
      </c>
      <c r="F19" s="205" t="inlineStr">
        <is>
          <t>Design &amp; Align</t>
        </is>
      </c>
      <c r="G19" s="206" t="inlineStr">
        <is>
          <t>P1-Must Have</t>
        </is>
      </c>
      <c r="H19" s="149" t="inlineStr">
        <is>
          <t>Oracle Planning: Separate WFP_CostCentre hierarchy (subset of GL CC hierarchy). EPM DM: filter load to include only CCs with Employee_Count &gt; 0. Admin → Dimension Editor: alternate hierarchy 'WFP_CC' maps to Workday OrgUnit naming. Nightly sync: add/remove CCs based on Workday OrgUnit active flag.</t>
        </is>
      </c>
    </row>
    <row r="20" ht="42" customHeight="1">
      <c r="A20" s="184" t="inlineStr">
        <is>
          <t>WF-32</t>
        </is>
      </c>
      <c r="B20" s="221" t="inlineStr">
        <is>
          <t>Metadata / Dimensions</t>
        </is>
      </c>
      <c r="C20" s="151" t="inlineStr">
        <is>
          <t>Hierarchy</t>
        </is>
      </c>
      <c r="D20" s="151" t="inlineStr">
        <is>
          <t>Financial vs. Management hierarchies for personnel costs</t>
        </is>
      </c>
      <c r="E20" s="151" t="inlineStr">
        <is>
          <t>System must support separate Financial (GL) and Management hierarchies for personnel-related expenses. Both must reconcile to totals.</t>
        </is>
      </c>
      <c r="F20" s="214" t="inlineStr">
        <is>
          <t>Design &amp; Align</t>
        </is>
      </c>
      <c r="G20" s="208" t="inlineStr">
        <is>
          <t>P1-Must Have</t>
        </is>
      </c>
      <c r="H20" s="151" t="inlineStr">
        <is>
          <t>Oracle Planning: Two alternate hierarchies on Entity + Account dimensions — 'Financial_View' (GL/statutory) and 'Management_View'. Smart View: hierarchy selector for ad-hoc. Narrative Reporting: separate data sources per view. CUST_HierarchyReconcile: validates Financial_Total = Management_Total.</t>
        </is>
      </c>
    </row>
    <row r="21" ht="42" customHeight="1">
      <c r="A21" s="186" t="inlineStr">
        <is>
          <t>WF-21</t>
        </is>
      </c>
      <c r="B21" s="220" t="inlineStr">
        <is>
          <t>Metadata / Dimensions</t>
        </is>
      </c>
      <c r="C21" s="149" t="inlineStr">
        <is>
          <t>Dimensions</t>
        </is>
      </c>
      <c r="D21" s="149" t="inlineStr">
        <is>
          <t>Location as dimension (not attribute)</t>
        </is>
      </c>
      <c r="E21" s="149" t="inlineStr">
        <is>
          <t>Location must be modeled as a dimension, not an attribute.</t>
        </is>
      </c>
      <c r="F21" s="205" t="inlineStr">
        <is>
          <t>Design &amp; Align</t>
        </is>
      </c>
      <c r="G21" s="206" t="inlineStr">
        <is>
          <t>P1-Must Have</t>
        </is>
      </c>
      <c r="H21" s="149" t="inlineStr">
        <is>
          <t>Oracle Planning: 'Location' as sparse dimension — not a UDA/attribute. Members: Country → Region → City → Office. Used in: CUST_HKHousingAllowance, CUST_FXTranslation, CUST_IntlAssignment. Size optimization: keep Location sparse to avoid BSO block creation.</t>
        </is>
      </c>
    </row>
    <row r="22" ht="42" customHeight="1">
      <c r="A22" s="184" t="inlineStr">
        <is>
          <t>WF-26</t>
        </is>
      </c>
      <c r="B22" s="221" t="inlineStr">
        <is>
          <t>Metadata / Dimensions</t>
        </is>
      </c>
      <c r="C22" s="151" t="inlineStr">
        <is>
          <t>Dimensions</t>
        </is>
      </c>
      <c r="D22" s="151" t="inlineStr">
        <is>
          <t>Project dimension for future cube integration</t>
        </is>
      </c>
      <c r="E22" s="151" t="inlineStr">
        <is>
          <t>A Project dimension must be available to support future integration with Project cube.</t>
        </is>
      </c>
      <c r="F22" s="214" t="inlineStr">
        <is>
          <t>Design &amp; Align</t>
        </is>
      </c>
      <c r="G22" s="219" t="inlineStr">
        <is>
          <t>P2-Should Have</t>
        </is>
      </c>
      <c r="H22" s="151" t="inlineStr">
        <is>
          <t>Oracle Planning: 'Project' dimension — stub hierarchy for Release 1a (NoProject + TBD members). Future: EPM Data Management integration with Project Planning cube. Dimension type: sparse, generic. Release 1b: full project-workforce cost mapping.</t>
        </is>
      </c>
    </row>
    <row r="23" ht="42" customHeight="1">
      <c r="A23" s="186" t="inlineStr">
        <is>
          <t>WF-27</t>
        </is>
      </c>
      <c r="B23" s="220" t="inlineStr">
        <is>
          <t>Metadata / Dimensions</t>
        </is>
      </c>
      <c r="C23" s="149" t="inlineStr">
        <is>
          <t>Dimensions</t>
        </is>
      </c>
      <c r="D23" s="149" t="inlineStr">
        <is>
          <t>Version dimension — Enterprise and What-If categories</t>
        </is>
      </c>
      <c r="E23" s="149" t="inlineStr">
        <is>
          <t>Version dimension must support two distinct categories: Enterprise versions (Working, Drafts, Final) and What-If versions.</t>
        </is>
      </c>
      <c r="F23" s="210" t="inlineStr">
        <is>
          <t>S1</t>
        </is>
      </c>
      <c r="G23" s="206" t="inlineStr">
        <is>
          <t>P1-Must Have</t>
        </is>
      </c>
      <c r="H23" s="149" t="inlineStr">
        <is>
          <t>Oracle Planning: Version dimension members — Enterprise: Baseline, Working, Draft_1, Draft_2, Final. What-If: WhatIf_A, WhatIf_B, WhatIf_C, WhatIf_D, WhatIf_E (5 max). UDA: 'Enterprise' vs 'WhatIf' tag for filtering. CUST_VersionLifecycle enforces stage transitions.</t>
        </is>
      </c>
    </row>
    <row r="24" ht="42" customHeight="1">
      <c r="A24" s="184" t="inlineStr">
        <is>
          <t>WF-22</t>
        </is>
      </c>
      <c r="B24" s="221" t="inlineStr">
        <is>
          <t>Metadata / Dimensions</t>
        </is>
      </c>
      <c r="C24" s="151" t="inlineStr">
        <is>
          <t>Scenarios</t>
        </is>
      </c>
      <c r="D24" s="151" t="inlineStr">
        <is>
          <t>Version lifecycle management — limited, managed</t>
        </is>
      </c>
      <c r="E24" s="151" t="inlineStr">
        <is>
          <t>Number of plan/forecast versions must be limited and lifecycle-managed. Up to 5 What-If scenarios, not maintained after cycle closes unless promoted.</t>
        </is>
      </c>
      <c r="F24" s="207" t="inlineStr">
        <is>
          <t>S1</t>
        </is>
      </c>
      <c r="G24" s="208" t="inlineStr">
        <is>
          <t>P1-Must Have</t>
        </is>
      </c>
      <c r="H24" s="151" t="inlineStr">
        <is>
          <t>Oracle Planning: Annual version cleanup job via EPM Automate — archive What-If versions after cycle close. CUST_VersionArchive: promotes selected What-If to named version or deletes. Admin: version count enforced — max 5 What-If concurrent. Audit log: promotion history retained.</t>
        </is>
      </c>
    </row>
    <row r="25" ht="42" customHeight="1">
      <c r="A25" s="186" t="inlineStr">
        <is>
          <t>WF-23</t>
        </is>
      </c>
      <c r="B25" s="220" t="inlineStr">
        <is>
          <t>Metadata / Dimensions</t>
        </is>
      </c>
      <c r="C25" s="149" t="inlineStr">
        <is>
          <t>Dimensions</t>
        </is>
      </c>
      <c r="D25" s="149" t="inlineStr">
        <is>
          <t>Dimension optimization for application performance</t>
        </is>
      </c>
      <c r="E25" s="149" t="inlineStr">
        <is>
          <t>Application performance must be optimized by optimizing dimension size.</t>
        </is>
      </c>
      <c r="F25" s="205" t="inlineStr">
        <is>
          <t>Design &amp; Align</t>
        </is>
      </c>
      <c r="G25" s="206" t="inlineStr">
        <is>
          <t>P1-Must Have</t>
        </is>
      </c>
      <c r="H25" s="149" t="inlineStr">
        <is>
          <t>Oracle Planning BSO/ASO design: Dense dimensions — Account + Period. Sparse — Entity, Department, Position, Scenario, Version, Location, Job. Keep Position hierarchy shallow. Aggregate storage option (ASO) for reporting cube. CUST_BlockCleanup: auto-clear empty blocks on WFPClearAll.</t>
        </is>
      </c>
    </row>
    <row r="26" ht="42" customHeight="1">
      <c r="A26" s="184" t="inlineStr">
        <is>
          <t>WF-25</t>
        </is>
      </c>
      <c r="B26" s="221" t="inlineStr">
        <is>
          <t>Metadata / Dimensions</t>
        </is>
      </c>
      <c r="C26" s="151" t="inlineStr">
        <is>
          <t>Dimensions</t>
        </is>
      </c>
      <c r="D26" s="151" t="inlineStr">
        <is>
          <t>Multi-currency — regional/local currency + FX impact</t>
        </is>
      </c>
      <c r="E26" s="151" t="inlineStr">
        <is>
          <t>WFP application must be multi-currency enabled. Record salary in regional/local currency, complete regional analyses, see FX impact.</t>
        </is>
      </c>
      <c r="F26" s="207" t="inlineStr">
        <is>
          <t>S1</t>
        </is>
      </c>
      <c r="G26" s="208" t="inlineStr">
        <is>
          <t>P1-Must Have</t>
        </is>
      </c>
      <c r="H26" s="151" t="inlineStr">
        <is>
          <t>Oracle Planning: Enable currency in Application Settings. Reporting Currency: CAD. Input currencies per location: USD, GBP, HKD, BRL, EUR. Exchange rate table: FX_Rates[Currency, Year, Type=Annual_Avg]. CUST_FXTranslation Groovy: Local_Amount × FX_Rate[Currency, FY].</t>
        </is>
      </c>
    </row>
    <row r="27" ht="42" customHeight="1">
      <c r="A27" s="186" t="inlineStr">
        <is>
          <t>WF-33</t>
        </is>
      </c>
      <c r="B27" s="220" t="inlineStr">
        <is>
          <t>Metadata / Dimensions</t>
        </is>
      </c>
      <c r="C27" s="149" t="inlineStr">
        <is>
          <t>Hierarchy</t>
        </is>
      </c>
      <c r="D27" s="149" t="inlineStr">
        <is>
          <t>Personnel cost categories not driven by positions</t>
        </is>
      </c>
      <c r="E27" s="149" t="inlineStr">
        <is>
          <t>System must support personnel-related cost categories not driven by positions or employees (e.g., severance, payroll admin, employee acquisition) while included in overall personnel cost envelope.</t>
        </is>
      </c>
      <c r="F27" s="205" t="inlineStr">
        <is>
          <t>Design &amp; Align</t>
        </is>
      </c>
      <c r="G27" s="206" t="inlineStr">
        <is>
          <t>P1-Must Have</t>
        </is>
      </c>
      <c r="H27" s="149" t="inlineStr">
        <is>
          <t>Oracle Planning: Account dimension — 'Personnel_NonPosition' sub-hierarchy: Severance, Payroll_Admin, Employee_Acquisition, Employer_Taxes. These accounts planned directly (not driven by position count). Forms: separate Non-Position_Personnel_Form. Reconcile into total Personnel_Cost account.</t>
        </is>
      </c>
    </row>
    <row r="28" ht="42" customHeight="1">
      <c r="A28" s="184" t="inlineStr">
        <is>
          <t>WF-34</t>
        </is>
      </c>
      <c r="B28" s="221" t="inlineStr">
        <is>
          <t>Metadata / Dimensions</t>
        </is>
      </c>
      <c r="C28" s="151" t="inlineStr">
        <is>
          <t>Position Structure</t>
        </is>
      </c>
      <c r="D28" s="151" t="inlineStr">
        <is>
          <t>Contingent costs linked to positions (or position-less)</t>
        </is>
      </c>
      <c r="E28" s="151" t="inlineStr">
        <is>
          <t>System must support linking contingent workforce costs to positions where applicable (backfills, temp replacements), while also allowing position-less contingent costs.</t>
        </is>
      </c>
      <c r="F28" s="211" t="inlineStr">
        <is>
          <t>S3</t>
        </is>
      </c>
      <c r="G28" s="219" t="inlineStr">
        <is>
          <t>P2-Should Have</t>
        </is>
      </c>
      <c r="H28" s="151" t="inlineStr">
        <is>
          <t>Oracle Planning: Position attribute 'Contingent_Link' — FK to Position_ID if backfill. CUST_ContractorCost: if Contingent_Link = position, cost allocated to that position's cost centre. If position-less: allocated to dept-level Contingent_Pool account. Form: contingent entry with optional Position_Link field.</t>
        </is>
      </c>
    </row>
    <row r="29" ht="42" customHeight="1">
      <c r="A29" s="186" t="inlineStr">
        <is>
          <t>WF-35</t>
        </is>
      </c>
      <c r="B29" s="220" t="inlineStr">
        <is>
          <t>Metadata / Dimensions</t>
        </is>
      </c>
      <c r="C29" s="149" t="inlineStr">
        <is>
          <t>Commentary</t>
        </is>
      </c>
      <c r="D29" s="149" t="inlineStr">
        <is>
          <t>Commentary at planning steps — stored in Oracle</t>
        </is>
      </c>
      <c r="E29" s="149" t="inlineStr">
        <is>
          <t>Ability to capture commentary directly in Oracle (rationale, explanations, notes) and store for audit and reporting purposes when drivers are changed.</t>
        </is>
      </c>
      <c r="F29" s="216" t="inlineStr">
        <is>
          <t>S4</t>
        </is>
      </c>
      <c r="G29" s="206" t="inlineStr">
        <is>
          <t>P1-Must Have</t>
        </is>
      </c>
      <c r="H29" s="149" t="inlineStr">
        <is>
          <t>Oracle Planning: Cell Text / Supporting Detail on all planning forms. Narrative Reporting: NR report includes commentary column pulled from Planning cell text. EPM Data Management: commentary exported in data extract for audit evidence. Form design: mandatory commentary field when value deviates &gt; threshold.</t>
        </is>
      </c>
    </row>
    <row r="30" ht="42" customHeight="1">
      <c r="A30" s="184" t="inlineStr">
        <is>
          <t>WF-36</t>
        </is>
      </c>
      <c r="B30" s="221" t="inlineStr">
        <is>
          <t>Metadata / Dimensions</t>
        </is>
      </c>
      <c r="C30" s="151" t="inlineStr">
        <is>
          <t>Commentary</t>
        </is>
      </c>
      <c r="D30" s="151" t="inlineStr">
        <is>
          <t>Standardized commentary categories + file attachments</t>
        </is>
      </c>
      <c r="E30" s="151" t="inlineStr">
        <is>
          <t>Standardize commentary categories (e.g., FX, rates, attrition, vacancy, realization) and enable file attachments. Commentary must be reportable and auditable.</t>
        </is>
      </c>
      <c r="F30" s="217" t="inlineStr">
        <is>
          <t>S4</t>
        </is>
      </c>
      <c r="G30" s="208" t="inlineStr">
        <is>
          <t>P1-Must Have</t>
        </is>
      </c>
      <c r="H30" s="151" t="inlineStr">
        <is>
          <t>Oracle Planning: Custom list: Commentary_Category UDA on cell text (FX / Rates / Attrition / Vacancy / Realization / Other). File attachment: Oracle Planning Document Library linked to planning units. Narrative Reporting: filter commentary by category for audit report.</t>
        </is>
      </c>
    </row>
    <row r="31" ht="42" customHeight="1">
      <c r="A31" s="186" t="inlineStr">
        <is>
          <t>WF-30</t>
        </is>
      </c>
      <c r="B31" s="220" t="inlineStr">
        <is>
          <t>Metadata / Dimensions</t>
        </is>
      </c>
      <c r="C31" s="149" t="inlineStr">
        <is>
          <t>Data</t>
        </is>
      </c>
      <c r="D31" s="149" t="inlineStr">
        <is>
          <t>Turnover definition — departures only, not internal moves</t>
        </is>
      </c>
      <c r="E31" s="149" t="inlineStr">
        <is>
          <t>Solution must maintain standard definitions: turnover = departures from organization, does not include internal role moves (to avoid mislabeling and incorrect logic).</t>
        </is>
      </c>
      <c r="F31" s="205" t="inlineStr">
        <is>
          <t>Design &amp; Align</t>
        </is>
      </c>
      <c r="G31" s="206" t="inlineStr">
        <is>
          <t>P1-Must Have</t>
        </is>
      </c>
      <c r="H31" s="149" t="inlineStr">
        <is>
          <t>Oracle Planning: Account dimension — 'Turnover' account = external departures only. Separate account 'Internal_Transfer' for role moves. CUST_TurnoverCalc: sources from Workday Turnover_Events dimension (Resignation + Involuntary); excludes Position_Transfer events. Driver table: Turnover_Rate[Dept] = Turnover_Events / Avg_Filled_HC.</t>
        </is>
      </c>
    </row>
    <row r="32" ht="42" customHeight="1">
      <c r="A32" s="184" t="inlineStr">
        <is>
          <t>WF-29</t>
        </is>
      </c>
      <c r="B32" s="221" t="inlineStr">
        <is>
          <t>Metadata / Dimensions</t>
        </is>
      </c>
      <c r="C32" s="151" t="inlineStr">
        <is>
          <t>Position Structure</t>
        </is>
      </c>
      <c r="D32" s="151" t="inlineStr">
        <is>
          <t>Worker type dimension — Regular/Intern/Secondment/Contingent</t>
        </is>
      </c>
      <c r="E32" s="151" t="inlineStr">
        <is>
          <t>WFP must support capability to plan at worker type level: regular, intern, secondment, contingent.</t>
        </is>
      </c>
      <c r="F32" s="214" t="inlineStr">
        <is>
          <t>Design &amp; Align</t>
        </is>
      </c>
      <c r="G32" s="208" t="inlineStr">
        <is>
          <t>P1-Must Have</t>
        </is>
      </c>
      <c r="H32" s="151" t="inlineStr">
        <is>
          <t>Oracle Planning: 'Worker_Type' dimension — Regular_FTE, Intern, Secondment, Contingent_Vendor, Contingent_Backfill. Used by: CUST_MeritEligibility (excludes Interns/Contingent), CUST_BenefitsCalc (FT vs PT rates), CUST_ContractorCost. Position attribute linked to Worker_Type.</t>
        </is>
      </c>
    </row>
    <row r="33" ht="42" customHeight="1">
      <c r="A33" s="186" t="inlineStr">
        <is>
          <t>WF-24</t>
        </is>
      </c>
      <c r="B33" s="220" t="inlineStr">
        <is>
          <t>Metadata / Dimensions</t>
        </is>
      </c>
      <c r="C33" s="149" t="inlineStr">
        <is>
          <t>Position Structure</t>
        </is>
      </c>
      <c r="D33" s="149" t="inlineStr">
        <is>
          <t>Job and grade structures aligned with Workday</t>
        </is>
      </c>
      <c r="E33" s="149" t="inlineStr">
        <is>
          <t>Job and grade structures must align with Workday definitions.</t>
        </is>
      </c>
      <c r="F33" s="212" t="inlineStr">
        <is>
          <t>S2</t>
        </is>
      </c>
      <c r="G33" s="206" t="inlineStr">
        <is>
          <t>P1-Must Have</t>
        </is>
      </c>
      <c r="H33" s="149" t="inlineStr">
        <is>
          <t>Oracle Planning: Job_Code and Grade dimensions loaded from Workday Job Profile extract. EPM DM: HRIS_JobGrade_Load job — Workday Job Profile → Oracle Job_Code hierarchy. Nightly sync: delta load for new jobs/grades. Validation: CUST_JobGradeValidation checks Job_Code exists in Workday before accepting planning entries.</t>
        </is>
      </c>
    </row>
    <row r="34" ht="42" customHeight="1">
      <c r="A34" s="184" t="inlineStr">
        <is>
          <t>WF-10</t>
        </is>
      </c>
      <c r="B34" s="222" t="inlineStr">
        <is>
          <t>Data</t>
        </is>
      </c>
      <c r="C34" s="151" t="inlineStr">
        <is>
          <t>Actuals Data</t>
        </is>
      </c>
      <c r="D34" s="151" t="inlineStr">
        <is>
          <t>Workday as SOR for positions (via Talent Data Product)</t>
        </is>
      </c>
      <c r="E34" s="151" t="inlineStr">
        <is>
          <t>Workday must remain the system of record for positions, grades, and employee attributes via the Talent Data Product — monthly snapshot consumption.</t>
        </is>
      </c>
      <c r="F34" s="209" t="inlineStr">
        <is>
          <t>S2</t>
        </is>
      </c>
      <c r="G34" s="208" t="inlineStr">
        <is>
          <t>P1-Must Have</t>
        </is>
      </c>
      <c r="H34" s="151" t="inlineStr">
        <is>
          <t>EPM Data Management: Talent_Data_Product_Load job — consumes monthly position snapshot from Talent Data Product. Workday → Talent Data Product (Data Fabric/SCD) → EPM. Job: HRIS_Position_Snapshot_Monthly. Validation: position count reconciliation before EPM write. SOR rules: no manual position creation in EPM without Workday source record.</t>
        </is>
      </c>
    </row>
    <row r="35" ht="42" customHeight="1">
      <c r="A35" s="186" t="inlineStr">
        <is>
          <t>WF-15</t>
        </is>
      </c>
      <c r="B35" s="223" t="inlineStr">
        <is>
          <t>Data</t>
        </is>
      </c>
      <c r="C35" s="149" t="inlineStr">
        <is>
          <t>Actuals Data</t>
        </is>
      </c>
      <c r="D35" s="149" t="inlineStr">
        <is>
          <t>PeopleFluent ICP data via Talent Data Product</t>
        </is>
      </c>
      <c r="E35" s="149" t="inlineStr">
        <is>
          <t>WFP must consume Incentive Compensation (ICP) data sourced from PeopleFluent via the Talent Data Product.</t>
        </is>
      </c>
      <c r="F35" s="212" t="inlineStr">
        <is>
          <t>S2</t>
        </is>
      </c>
      <c r="G35" s="206" t="inlineStr">
        <is>
          <t>P1-Must Have</t>
        </is>
      </c>
      <c r="H35" s="149" t="inlineStr">
        <is>
          <t>EPM DM: PeopleFluent_ICP_Load — ICP assumptions (Target Bonus%, In-Year ICP%, Deferred%, RoR) from Talent Data Product. Load frequency: monthly. Mapping: PeopleFluent employee → Oracle Position_ID. ICP assumption table in Oracle Planning: ICP_Rates[Position_ID, Scenario, Period]. Used by WF-74/75/76 Groovy rules.</t>
        </is>
      </c>
    </row>
    <row r="36" ht="42" customHeight="1">
      <c r="A36" s="184" t="inlineStr">
        <is>
          <t>WF-17</t>
        </is>
      </c>
      <c r="B36" s="224" t="inlineStr">
        <is>
          <t>Data Integration</t>
        </is>
      </c>
      <c r="C36" s="151" t="inlineStr">
        <is>
          <t>Actuals Data</t>
        </is>
      </c>
      <c r="D36" s="151" t="inlineStr">
        <is>
          <t>Automated file ingestion — reduced manual preprocessing</t>
        </is>
      </c>
      <c r="E36" s="151" t="inlineStr">
        <is>
          <t>WFP must support automated file ingestion with reduced manual preprocessing.</t>
        </is>
      </c>
      <c r="F36" s="209" t="inlineStr">
        <is>
          <t>S2</t>
        </is>
      </c>
      <c r="G36" s="208" t="inlineStr">
        <is>
          <t>P1-Must Have</t>
        </is>
      </c>
      <c r="H36" s="151" t="inlineStr">
        <is>
          <t>EPM Automate: scheduled job triggers EPM Data Management batch. File format: standardized CSV/Parquet from Talent Data Product API. Pre-processing: Python Lambda validates schema before EPM load. Error quarantine: invalid files held in staging — not rejected outright. EPM DM transformation: column mapping, null handling, FX translation applied automatically.</t>
        </is>
      </c>
    </row>
    <row r="37" ht="42" customHeight="1">
      <c r="A37" s="186" t="inlineStr">
        <is>
          <t>WF-16</t>
        </is>
      </c>
      <c r="B37" s="225" t="inlineStr">
        <is>
          <t>Data Integration</t>
        </is>
      </c>
      <c r="C37" s="149" t="inlineStr">
        <is>
          <t>Reports - Audit</t>
        </is>
      </c>
      <c r="D37" s="149" t="inlineStr">
        <is>
          <t>Validate source data + error report + re-trigger</t>
        </is>
      </c>
      <c r="E37" s="149" t="inlineStr">
        <is>
          <t>WFP must support a full-and-final inbound data load — load completes only if all required data is successfully processed.</t>
        </is>
      </c>
      <c r="F37" s="212" t="inlineStr">
        <is>
          <t>S2</t>
        </is>
      </c>
      <c r="G37" s="206" t="inlineStr">
        <is>
          <t>P1-Must Have</t>
        </is>
      </c>
      <c r="H37" s="149" t="inlineStr">
        <is>
          <t>EPM DM: 'All-or-Nothing' load mode — if any record fails validation, entire load rolled back. Error Report: auto-generated HTML/CSV report with failed records, field-level errors, rule violation details. Shared to Data_Ops team email list. Manual re-trigger: EPM Automate 'rerun_load' command after corrections. WF-11: invalid combos (CC vs Location mismatch) flagged as load failure.</t>
        </is>
      </c>
    </row>
    <row r="38" ht="42" customHeight="1">
      <c r="A38" s="184" t="inlineStr">
        <is>
          <t>WF-11</t>
        </is>
      </c>
      <c r="B38" s="224" t="inlineStr">
        <is>
          <t>Data Integration</t>
        </is>
      </c>
      <c r="C38" s="151" t="inlineStr">
        <is>
          <t>Reports - Audit</t>
        </is>
      </c>
      <c r="D38" s="151" t="inlineStr">
        <is>
          <t>Detect invalid combinations — mark file load as failed</t>
        </is>
      </c>
      <c r="E38" s="151" t="inlineStr">
        <is>
          <t>System must detect invalid data combinations (e.g., cost center vs location mismatch) and mark the entire file load as failed.</t>
        </is>
      </c>
      <c r="F38" s="209" t="inlineStr">
        <is>
          <t>S2</t>
        </is>
      </c>
      <c r="G38" s="208" t="inlineStr">
        <is>
          <t>P1-Must Have</t>
        </is>
      </c>
      <c r="H38" s="151" t="inlineStr">
        <is>
          <t>EPM DM: Cross-reference validation rule — CC_Location_Matrix table. If CC not in Location's valid set → load flagged as failed. Error report: flags all invalid combos with record count. CUST_DataValidation Business Rule: post-load integrity check on Position_CC_Location triples.</t>
        </is>
      </c>
    </row>
    <row r="39" ht="42" customHeight="1">
      <c r="A39" s="186" t="inlineStr">
        <is>
          <t>WF-12</t>
        </is>
      </c>
      <c r="B39" s="223" t="inlineStr">
        <is>
          <t>Data</t>
        </is>
      </c>
      <c r="C39" s="149" t="inlineStr">
        <is>
          <t>Actuals Data</t>
        </is>
      </c>
      <c r="D39" s="149" t="inlineStr">
        <is>
          <t>More frequent workforce data refresh</t>
        </is>
      </c>
      <c r="E39" s="149" t="inlineStr">
        <is>
          <t>Workforce data refresh must support more frequent forecasting (sub-monthly refreshes).</t>
        </is>
      </c>
      <c r="F39" s="212" t="inlineStr">
        <is>
          <t>S2</t>
        </is>
      </c>
      <c r="G39" s="218" t="inlineStr">
        <is>
          <t>P2-Should Have</t>
        </is>
      </c>
      <c r="H39" s="149" t="inlineStr">
        <is>
          <t>EPM Automate: on-demand load trigger available via REST API or manual EPM Automate command. Talent Data Product: supports delta extract (changed records only) for mid-cycle refresh. CUST_DeltaLoad: appends changed positions without full reload. Governance: mid-cycle refresh logged in audit trail with timestamp and requester.</t>
        </is>
      </c>
    </row>
    <row r="40" ht="42" customHeight="1">
      <c r="A40" s="184" t="inlineStr">
        <is>
          <t>WF-65</t>
        </is>
      </c>
      <c r="B40" s="222" t="inlineStr">
        <is>
          <t>Data</t>
        </is>
      </c>
      <c r="C40" s="151" t="inlineStr">
        <is>
          <t>Actuals Data</t>
        </is>
      </c>
      <c r="D40" s="151" t="inlineStr">
        <is>
          <t>Actual salary from Talent Data Product at position level</t>
        </is>
      </c>
      <c r="E40" s="151" t="inlineStr">
        <is>
          <t>Actual salary data fetched from Talent Data Product and loaded at position level. System calculates average salary by Sub-Dept, Location, Role, Grade (and consolidated at Role level).</t>
        </is>
      </c>
      <c r="F40" s="209" t="inlineStr">
        <is>
          <t>S2</t>
        </is>
      </c>
      <c r="G40" s="208" t="inlineStr">
        <is>
          <t>P1-Must Have</t>
        </is>
      </c>
      <c r="H40" s="151" t="inlineStr">
        <is>
          <t>EPM DM: Actual_Salary_Load — Position_ID, Actual_Annual_Salary from Talent Data Product. Average calc: CUST_AvgSalaryByMatrix computes Avg[Sub_Dept, Location, Role, Grade] and stores in assumption table. Used as input to WF-68/WF-69 base pay calcs. Refresh: monthly with Workday snapshot.</t>
        </is>
      </c>
    </row>
    <row r="41" ht="42" customHeight="1">
      <c r="A41" s="186" t="inlineStr">
        <is>
          <t>WF-08</t>
        </is>
      </c>
      <c r="B41" s="223" t="inlineStr">
        <is>
          <t>Data</t>
        </is>
      </c>
      <c r="C41" s="149" t="inlineStr">
        <is>
          <t>Historical Data</t>
        </is>
      </c>
      <c r="D41" s="149" t="inlineStr">
        <is>
          <t>5+ years historical actuals readily available</t>
        </is>
      </c>
      <c r="E41" s="149" t="inlineStr">
        <is>
          <t>System must support tiered historical data retention (hot/warm/cold) to balance performance, calculation needs, and long-term reference requirements.</t>
        </is>
      </c>
      <c r="F41" s="212" t="inlineStr">
        <is>
          <t>S2</t>
        </is>
      </c>
      <c r="G41" s="206" t="inlineStr">
        <is>
          <t>P1-Must Have</t>
        </is>
      </c>
      <c r="H41" s="149" t="inlineStr">
        <is>
          <t>Oracle Planning: Hot tier — FY22-FY25 actuals in active Planning cube (full calc access). Warm tier — FY20-FY21 in reporting-only cube (ASO). Cold tier — FY15-FY19 archived in EPM Cloud data files (extract on demand). EPM Automate: annual tier migration job. Recalculation disabled on cold tier.</t>
        </is>
      </c>
    </row>
    <row r="42" ht="42" customHeight="1">
      <c r="A42" s="184" t="inlineStr">
        <is>
          <t>WF-09</t>
        </is>
      </c>
      <c r="B42" s="222" t="inlineStr">
        <is>
          <t>Data</t>
        </is>
      </c>
      <c r="C42" s="151" t="inlineStr">
        <is>
          <t>Historical Data</t>
        </is>
      </c>
      <c r="D42" s="151" t="inlineStr">
        <is>
          <t>5 years actuals + prior-year budget/forecast — no recalc</t>
        </is>
      </c>
      <c r="E42" s="151" t="inlineStr">
        <is>
          <t>System must retain at least five years of historical actuals and prior-year approved budget/forecast for reporting and comparison purposes, without recalculation.</t>
        </is>
      </c>
      <c r="F42" s="209" t="inlineStr">
        <is>
          <t>S2</t>
        </is>
      </c>
      <c r="G42" s="208" t="inlineStr">
        <is>
          <t>P1-Must Have</t>
        </is>
      </c>
      <c r="H42" s="151" t="inlineStr">
        <is>
          <t>Oracle Planning: Historical actuals stored in locked 'Actuals' scenario — no calc rules fire on locked periods. Prior-year Budget/Forecast retained in dedicated Year members (FY22_Budget, FY23_Budget, etc.). Reporting cube (ASO): all 5 years accessible for variance trending.</t>
        </is>
      </c>
    </row>
    <row r="43" ht="42" customHeight="1">
      <c r="A43" s="186" t="inlineStr">
        <is>
          <t>WF-05</t>
        </is>
      </c>
      <c r="B43" s="223" t="inlineStr">
        <is>
          <t>Data</t>
        </is>
      </c>
      <c r="C43" s="149" t="inlineStr">
        <is>
          <t>Hierarchy</t>
        </is>
      </c>
      <c r="D43" s="149" t="inlineStr">
        <is>
          <t>Historical data restatements to current hierarchy</t>
        </is>
      </c>
      <c r="E43" s="149" t="inlineStr">
        <is>
          <t>System must support controlled historical restatement to current hierarchies for reporting, with clear communication that historical views reflect today's structure.</t>
        </is>
      </c>
      <c r="F43" s="212" t="inlineStr">
        <is>
          <t>S2</t>
        </is>
      </c>
      <c r="G43" s="218" t="inlineStr">
        <is>
          <t>P2-Should Have</t>
        </is>
      </c>
      <c r="H43" s="149" t="inlineStr">
        <is>
          <t>Oracle Planning: Restatement process — copy historical actuals to 'Restated' version with new hierarchy mapping. CUST_HistoricalRestatement: maps old CC → new CC per reorg mapping table. Reports: label restated data clearly. Original historical version preserved (immutable). Governance: restatement requires Finance Lead approval.</t>
        </is>
      </c>
    </row>
    <row r="44" ht="42" customHeight="1">
      <c r="A44" s="184" t="inlineStr">
        <is>
          <t>WF-49</t>
        </is>
      </c>
      <c r="B44" s="222" t="inlineStr">
        <is>
          <t>Data</t>
        </is>
      </c>
      <c r="C44" s="151" t="inlineStr">
        <is>
          <t>Baseline Data</t>
        </is>
      </c>
      <c r="D44" s="151" t="inlineStr">
        <is>
          <t>Latest forecast as baseline for annual planning</t>
        </is>
      </c>
      <c r="E44" s="151" t="inlineStr">
        <is>
          <t>Ability to use the latest Forecast as standardized baseline for Annual Planning (e.g., if Q2 is latest, use Q2; later use Q3 when available).</t>
        </is>
      </c>
      <c r="F44" s="209" t="inlineStr">
        <is>
          <t>S2</t>
        </is>
      </c>
      <c r="G44" s="208" t="inlineStr">
        <is>
          <t>P1-Must Have</t>
        </is>
      </c>
      <c r="H44" s="151" t="inlineStr">
        <is>
          <t>Oracle Planning: CUST_BaselineRefresh — copies latest available Forecast version to 'Baseline' version. EPM Automate: scheduled job checks for new forecast availability and triggers refresh. Governance: baseline refresh requires PMO approval and is logged. Lock: baseline locked once Annual Budget cycle opens.</t>
        </is>
      </c>
    </row>
    <row r="45" ht="42" customHeight="1">
      <c r="A45" s="186" t="inlineStr">
        <is>
          <t>WF-95</t>
        </is>
      </c>
      <c r="B45" s="225" t="inlineStr">
        <is>
          <t>Data Integration</t>
        </is>
      </c>
      <c r="C45" s="149" t="inlineStr">
        <is>
          <t>General Functionality</t>
        </is>
      </c>
      <c r="D45" s="149" t="inlineStr">
        <is>
          <t>Push from calc module (WFP) to reporting module</t>
        </is>
      </c>
      <c r="E45" s="149" t="inlineStr">
        <is>
          <t>System pushes data from final versions to necessary reporting module. Leveraging current data model structure: push from WFP calc cube to REP reporting cube and FS module.</t>
        </is>
      </c>
      <c r="F45" s="216" t="inlineStr">
        <is>
          <t>S4</t>
        </is>
      </c>
      <c r="G45" s="206" t="inlineStr">
        <is>
          <t>P1-Must Have</t>
        </is>
      </c>
      <c r="H45" s="149" t="inlineStr">
        <is>
          <t>Oracle Planning: EPM Automate job 'Push_WFP_to_REP' — copies approved WFP version data to Reporting cube. User-triggered: form button 'Submit to Reporting' — fires EPM Automate without BI team involvement, by dept. Push to FS module: 'Push_WFP_to_FS' job copies personnel costs to Financial Statement cube for aggregation.</t>
        </is>
      </c>
    </row>
    <row r="46" ht="42" customHeight="1">
      <c r="A46" s="184" t="inlineStr">
        <is>
          <t>WF-06</t>
        </is>
      </c>
      <c r="B46" s="226" t="inlineStr">
        <is>
          <t>Scenarios</t>
        </is>
      </c>
      <c r="C46" s="151" t="inlineStr">
        <is>
          <t>Planning Functionality</t>
        </is>
      </c>
      <c r="D46" s="151" t="inlineStr">
        <is>
          <t>New cost centre structure without overwriting historical</t>
        </is>
      </c>
      <c r="E46" s="151" t="inlineStr">
        <is>
          <t>System must support reorg planning without overwriting historical actuals. Plan, promote, and enact version with new CC structure.</t>
        </is>
      </c>
      <c r="F46" s="207" t="inlineStr">
        <is>
          <t>S1</t>
        </is>
      </c>
      <c r="G46" s="208" t="inlineStr">
        <is>
          <t>P1-Must Have</t>
        </is>
      </c>
      <c r="H46" s="151" t="inlineStr">
        <is>
          <t>Oracle Planning: Scenario 'Reorg_Sandbox' with experimental CC hierarchy. LCM snapshot of current hierarchy before reorg enactment. CUST_ReorgMapping: maps employees/positions from old CC → new CC effective date. History: original CC actuals preserved; restated view available via WF-05 process.</t>
        </is>
      </c>
    </row>
    <row r="47" ht="42" customHeight="1">
      <c r="A47" s="186" t="inlineStr">
        <is>
          <t>WF-07</t>
        </is>
      </c>
      <c r="B47" s="227" t="inlineStr">
        <is>
          <t>Scenarios</t>
        </is>
      </c>
      <c r="C47" s="149" t="inlineStr">
        <is>
          <t>Planning Functionality</t>
        </is>
      </c>
      <c r="D47" s="149" t="inlineStr">
        <is>
          <t>Confidential experimental CC structures — pre/post comparison</t>
        </is>
      </c>
      <c r="E47" s="149" t="inlineStr">
        <is>
          <t>Users must be able to compare pre- and post-reorg structures. Confidential experimentation.</t>
        </is>
      </c>
      <c r="F47" s="216" t="inlineStr">
        <is>
          <t>S4</t>
        </is>
      </c>
      <c r="G47" s="218" t="inlineStr">
        <is>
          <t>P2-Should Have</t>
        </is>
      </c>
      <c r="H47" s="149" t="inlineStr">
        <is>
          <t>Oracle Planning: What-If scenario with restricted visibility (WF-59 security). CUST_ReorgComparison: side-by-side view — current hierarchy vs proposed hierarchy. Dashboard: Reorg_Comparison_Dashboard with pre/post cost and HC deltas. Access: only Finance_Admin and requesting Dept Head.</t>
        </is>
      </c>
    </row>
    <row r="48" ht="42" customHeight="1">
      <c r="A48" s="184" t="inlineStr">
        <is>
          <t>WF-38</t>
        </is>
      </c>
      <c r="B48" s="226" t="inlineStr">
        <is>
          <t>Scenarios</t>
        </is>
      </c>
      <c r="C48" s="151" t="inlineStr">
        <is>
          <t>Planning Functionality</t>
        </is>
      </c>
      <c r="D48" s="151" t="inlineStr">
        <is>
          <t>Up to 5 What-If scenarios — not maintained after cycle unless promoted</t>
        </is>
      </c>
      <c r="E48" s="151" t="inlineStr">
        <is>
          <t>Future system to have capability to support What-If Analysis through version dimensions. Up to 5 saved named scenarios with different driver compositions.</t>
        </is>
      </c>
      <c r="F48" s="207" t="inlineStr">
        <is>
          <t>S1</t>
        </is>
      </c>
      <c r="G48" s="208" t="inlineStr">
        <is>
          <t>P1-Must Have</t>
        </is>
      </c>
      <c r="H48" s="151" t="inlineStr">
        <is>
          <t>Oracle Planning: Version dimension What-If members: WhatIf_A through WhatIf_E. CUST_WhatIfCreate: copies Working version to What-If on user request. EPM Automate: end-of-cycle cleanup archives or deletes What-If versions. Promotion: CUST_VersionPromotion copies selected What-If to named permanent version.</t>
        </is>
      </c>
    </row>
    <row r="49" ht="42" customHeight="1">
      <c r="A49" s="186" t="inlineStr">
        <is>
          <t>WF-39</t>
        </is>
      </c>
      <c r="B49" s="227" t="inlineStr">
        <is>
          <t>Scenarios</t>
        </is>
      </c>
      <c r="C49" s="149" t="inlineStr">
        <is>
          <t>Planning Functionality</t>
        </is>
      </c>
      <c r="D49" s="149" t="inlineStr">
        <is>
          <t>Top-down and bottom-up planning by version</t>
        </is>
      </c>
      <c r="E49" s="149" t="inlineStr">
        <is>
          <t>Application must support top-down and bottom-up planning approaches by version.</t>
        </is>
      </c>
      <c r="F49" s="216" t="inlineStr">
        <is>
          <t>S4</t>
        </is>
      </c>
      <c r="G49" s="206" t="inlineStr">
        <is>
          <t>P1-Must Have</t>
        </is>
      </c>
      <c r="H49" s="149" t="inlineStr">
        <is>
          <t>Oracle Planning: Top-Down version — envelope loaded at Division level by CFO; dept planners see constraint, distribute bottom-up. Bottom-Up version — dept planners build freely; consolidated for CFO review. CUST_TopDownBottomUpReconcile: highlights variance between TD and BU versions on CFO dashboard.</t>
        </is>
      </c>
    </row>
    <row r="50" ht="42" customHeight="1">
      <c r="A50" s="184" t="inlineStr">
        <is>
          <t>WF-40</t>
        </is>
      </c>
      <c r="B50" s="226" t="inlineStr">
        <is>
          <t>Scenarios</t>
        </is>
      </c>
      <c r="C50" s="151" t="inlineStr">
        <is>
          <t>Planning Functionality</t>
        </is>
      </c>
      <c r="D50" s="151" t="inlineStr">
        <is>
          <t>Side-by-side A/B/C version comparison</t>
        </is>
      </c>
      <c r="E50" s="151" t="inlineStr">
        <is>
          <t>System must support side-by-side comparison of multiple versions (e.g., A/B/C) based on different driver or position assumptions.</t>
        </is>
      </c>
      <c r="F50" s="217" t="inlineStr">
        <is>
          <t>S4</t>
        </is>
      </c>
      <c r="G50" s="219" t="inlineStr">
        <is>
          <t>P2-Should Have</t>
        </is>
      </c>
      <c r="H50" s="151" t="inlineStr">
        <is>
          <t>Oracle Planning: Smart View ad-hoc grid — multi-version axis. Dashboard: Scenario_Comparison_Dashboard showing WhatIf_A vs WhatIf_B vs Working on key metrics (Total_Comp, Total_FTE, OPEX_Total). CUST_ScenarioVariance: outputs pairwise delta for each comparison set.</t>
        </is>
      </c>
    </row>
    <row r="51" ht="42" customHeight="1">
      <c r="A51" s="186" t="inlineStr">
        <is>
          <t>WF-42</t>
        </is>
      </c>
      <c r="B51" s="227" t="inlineStr">
        <is>
          <t>Scenarios</t>
        </is>
      </c>
      <c r="C51" s="149" t="inlineStr">
        <is>
          <t>Drivers</t>
        </is>
      </c>
      <c r="D51" s="149" t="inlineStr">
        <is>
          <t>Vacancy as calculated output (not flat rate input)</t>
        </is>
      </c>
      <c r="E51" s="149" t="inlineStr">
        <is>
          <t>System must treat vacancy as a calculated output: approved positions vs filled positions over time, not a single flat-rate input.</t>
        </is>
      </c>
      <c r="F51" s="228" t="inlineStr">
        <is>
          <t>S3</t>
        </is>
      </c>
      <c r="G51" s="206" t="inlineStr">
        <is>
          <t>P1-Must Have</t>
        </is>
      </c>
      <c r="H51" s="149" t="inlineStr">
        <is>
          <t>Oracle Planning: CUST_VacancyCalc — Vacancy = Approved_HC − Filled_HC per position per period. Driver-based: vacancy driven by turnover events + hiring pipeline (not input). Vacancy_Rate = Vacancy / Approved_HC. Monthly trending visible in dashboard. WF-44: turnover applied to filled positions only.</t>
        </is>
      </c>
    </row>
    <row r="52" ht="42" customHeight="1">
      <c r="A52" s="184" t="inlineStr">
        <is>
          <t>WF-43</t>
        </is>
      </c>
      <c r="B52" s="226" t="inlineStr">
        <is>
          <t>Scenarios</t>
        </is>
      </c>
      <c r="C52" s="151" t="inlineStr">
        <is>
          <t>Calculations</t>
        </is>
      </c>
      <c r="D52" s="151" t="inlineStr">
        <is>
          <t>Decomposed vacancy model — vacancy months + cost impact</t>
        </is>
      </c>
      <c r="E52" s="151" t="inlineStr">
        <is>
          <t>System must support decomposed vacancy model: driven by turnover events + hiring pipeline/time-to-fill. Vacancy quantified as vacancy months and translated to cost impact.</t>
        </is>
      </c>
      <c r="F52" s="211" t="inlineStr">
        <is>
          <t>S3</t>
        </is>
      </c>
      <c r="G52" s="208" t="inlineStr">
        <is>
          <t>P1-Must Have</t>
        </is>
      </c>
      <c r="H52" s="151" t="inlineStr">
        <is>
          <t>Oracle Planning: CUST_VacancyDecomposed — Vacancy_Months = sum(days_vacant / days_in_period) per position. Vacancy_Cost = Avg_Monthly_Salary × Vacancy_Months. Components: Turnover_Vacancy (resigned/terminated), Pipeline_Vacancy (open approved roles), Fill_Lag_Vacancy (time-to-fill). Dashboard: vacancy waterfall by component.</t>
        </is>
      </c>
    </row>
    <row r="53" ht="42" customHeight="1">
      <c r="A53" s="186" t="inlineStr">
        <is>
          <t>WF-44</t>
        </is>
      </c>
      <c r="B53" s="227" t="inlineStr">
        <is>
          <t>Scenarios</t>
        </is>
      </c>
      <c r="C53" s="149" t="inlineStr">
        <is>
          <t>Drivers</t>
        </is>
      </c>
      <c r="D53" s="149" t="inlineStr">
        <is>
          <t>Turnover rate applied to filled positions only</t>
        </is>
      </c>
      <c r="E53" s="149" t="inlineStr">
        <is>
          <t>System must apply turnover rates only to filled positions (bums-in-seats), not to already-vacant approved positions.</t>
        </is>
      </c>
      <c r="F53" s="228" t="inlineStr">
        <is>
          <t>S3</t>
        </is>
      </c>
      <c r="G53" s="206" t="inlineStr">
        <is>
          <t>P1-Must Have</t>
        </is>
      </c>
      <c r="H53" s="149" t="inlineStr">
        <is>
          <t>Oracle Planning: CUST_TurnoverCalc — filter: IF Position_Status = 'Filled' THEN apply Turnover_Rate ELSE 0. Driver table: Turnover_Rate[Dept, Worker_Type, Year]. Turnover event: creates vacancy months from effective departure date. Does not apply to unfilled approved positions.</t>
        </is>
      </c>
    </row>
    <row r="54" ht="42" customHeight="1">
      <c r="A54" s="184" t="inlineStr">
        <is>
          <t>WF-45</t>
        </is>
      </c>
      <c r="B54" s="226" t="inlineStr">
        <is>
          <t>Scenarios</t>
        </is>
      </c>
      <c r="C54" s="151" t="inlineStr">
        <is>
          <t>Drivers</t>
        </is>
      </c>
      <c r="D54" s="151" t="inlineStr">
        <is>
          <t>Attrition — vacancy not replaced, headcount reduces</t>
        </is>
      </c>
      <c r="E54" s="151" t="inlineStr">
        <is>
          <t>System must support attrition as distinct concept: positions vacant and intentionally not replaced, reducing headcount over time.</t>
        </is>
      </c>
      <c r="F54" s="217" t="inlineStr">
        <is>
          <t>S4</t>
        </is>
      </c>
      <c r="G54" s="208" t="inlineStr">
        <is>
          <t>P1-Must Have</t>
        </is>
      </c>
      <c r="H54" s="151" t="inlineStr">
        <is>
          <t>Oracle Planning: Attrition_Flag on position. CUST_AttritionCalc: IF Attrition_Flag = Y, position status → Closed_Attrition; HC count decremented from effective month; cost zeroed. Distinct from Turnover (replaced) vs Attrition (not replaced). Reports: attrition tracker by dept with HC impact.</t>
        </is>
      </c>
    </row>
    <row r="55" ht="42" customHeight="1">
      <c r="A55" s="186" t="inlineStr">
        <is>
          <t>WF-47</t>
        </is>
      </c>
      <c r="B55" s="227" t="inlineStr">
        <is>
          <t>Scenarios</t>
        </is>
      </c>
      <c r="C55" s="149" t="inlineStr">
        <is>
          <t>Edge Cases</t>
        </is>
      </c>
      <c r="D55" s="149" t="inlineStr">
        <is>
          <t>Contingent workforce costs — distinct category</t>
        </is>
      </c>
      <c r="E55" s="149" t="inlineStr">
        <is>
          <t>System must support planning and visibility of contingent workforce costs as distinct category within personnel-related costs, separate from permanent employees.</t>
        </is>
      </c>
      <c r="F55" s="228" t="inlineStr">
        <is>
          <t>S3</t>
        </is>
      </c>
      <c r="G55" s="218" t="inlineStr">
        <is>
          <t>P2-Should Have</t>
        </is>
      </c>
      <c r="H55" s="149" t="inlineStr">
        <is>
          <t>Oracle Planning: Account hierarchy — 'Personnel_Contingent' sub-hierarchy. Worker_Type dimension: Contingent_Vendor, Contingent_Backfill. CUST_ContractorCost: Bill_Rate × Hours × Utilization%. Dashboard: FTE vs Contingent cost split. WF-57: comparative analysis FTE vs contingent trade-off.</t>
        </is>
      </c>
    </row>
    <row r="56" ht="42" customHeight="1">
      <c r="A56" s="184" t="inlineStr">
        <is>
          <t>WF-48</t>
        </is>
      </c>
      <c r="B56" s="226" t="inlineStr">
        <is>
          <t>Scenarios</t>
        </is>
      </c>
      <c r="C56" s="151" t="inlineStr">
        <is>
          <t>Edge Cases</t>
        </is>
      </c>
      <c r="D56" s="151" t="inlineStr">
        <is>
          <t>Time-bound contingent planning (start/end dates)</t>
        </is>
      </c>
      <c r="E56" s="151" t="inlineStr">
        <is>
          <t>System must support time-bound contingent workforce planning (start/end dates) to reflect temporary nature.</t>
        </is>
      </c>
      <c r="F56" s="211" t="inlineStr">
        <is>
          <t>S3</t>
        </is>
      </c>
      <c r="G56" s="219" t="inlineStr">
        <is>
          <t>P2-Should Have</t>
        </is>
      </c>
      <c r="H56" s="151" t="inlineStr">
        <is>
          <t>Oracle Planning: Position attribute Start_Date, End_Date for contingent roles. CUST_ContingentTimeBound: zeroes cost outside start/end range. Period spread: only active months included. Form: Contingent_Planning_Form with mandatory start/end date fields.</t>
        </is>
      </c>
    </row>
    <row r="57" ht="42" customHeight="1">
      <c r="A57" s="186" t="inlineStr">
        <is>
          <t>WF-54</t>
        </is>
      </c>
      <c r="B57" s="227" t="inlineStr">
        <is>
          <t>Scenarios</t>
        </is>
      </c>
      <c r="C57" s="149" t="inlineStr">
        <is>
          <t>Planning Functionality</t>
        </is>
      </c>
      <c r="D57" s="149" t="inlineStr">
        <is>
          <t>Effective-dated movements — transfers, promotions, leavers</t>
        </is>
      </c>
      <c r="E57" s="149" t="inlineStr">
        <is>
          <t>WFP must support analysis of headcount and cost movements (transfers, promotions, leavers) with effective dates.</t>
        </is>
      </c>
      <c r="F57" s="216" t="inlineStr">
        <is>
          <t>S4</t>
        </is>
      </c>
      <c r="G57" s="206" t="inlineStr">
        <is>
          <t>P1-Must Have</t>
        </is>
      </c>
      <c r="H57" s="149" t="inlineStr">
        <is>
          <t>Oracle Planning WFP: Effective-date attribute on Position. CUST_EffectiveDateCalc: prorate cost from effective month. Movement types: Transfer (CC change), Promotion (grade change), Departure (effective end date). CUST_MovementAnalysis: HC movement waterfall — opening → new hires → transfers_in → transfers_out → promotions → departures → closing.</t>
        </is>
      </c>
    </row>
    <row r="58" ht="42" customHeight="1">
      <c r="A58" s="184" t="inlineStr">
        <is>
          <t>WF-55</t>
        </is>
      </c>
      <c r="B58" s="226" t="inlineStr">
        <is>
          <t>Scenarios</t>
        </is>
      </c>
      <c r="C58" s="151" t="inlineStr">
        <is>
          <t>Planning Functionality</t>
        </is>
      </c>
      <c r="D58" s="151" t="inlineStr">
        <is>
          <t>Departmental envelopes visible during planning</t>
        </is>
      </c>
      <c r="E58" s="151" t="inlineStr">
        <is>
          <t>During forecasting, system must display approved annual budget build-up number as reference alongside forecast results. Ability to input and change envelopes.</t>
        </is>
      </c>
      <c r="F58" s="217" t="inlineStr">
        <is>
          <t>S4</t>
        </is>
      </c>
      <c r="G58" s="208" t="inlineStr">
        <is>
          <t>P1-Must Have</t>
        </is>
      </c>
      <c r="H58" s="151" t="inlineStr">
        <is>
          <t>Oracle Planning: Top_Down_Envelope loaded to 'Budget_Envelope' account member. Planning form: envelope displayed as read-only reference column beside forecast input. CUST_EnvelopeVariance: flags dept forecast &gt; envelope. CFO can update envelope with change tracking. Form: Budget_Envelope_Form (Finance_Admin access only).</t>
        </is>
      </c>
    </row>
    <row r="59" ht="42" customHeight="1">
      <c r="A59" s="186" t="inlineStr">
        <is>
          <t>WF-56</t>
        </is>
      </c>
      <c r="B59" s="227" t="inlineStr">
        <is>
          <t>Scenarios</t>
        </is>
      </c>
      <c r="C59" s="149" t="inlineStr">
        <is>
          <t>Drivers</t>
        </is>
      </c>
      <c r="D59" s="149" t="inlineStr">
        <is>
          <t>Vacancy actionable via underlying drivers and trending</t>
        </is>
      </c>
      <c r="E59" s="149" t="inlineStr">
        <is>
          <t>Solution must provide reporting/trending that makes vacancy actionable by exposing underlying drivers: turnover, fill rates, external hires, internal fills, recruitment velocity, time-to-fill.</t>
        </is>
      </c>
      <c r="F59" s="216" t="inlineStr">
        <is>
          <t>S4</t>
        </is>
      </c>
      <c r="G59" s="218" t="inlineStr">
        <is>
          <t>P2-Should Have</t>
        </is>
      </c>
      <c r="H59" s="149" t="inlineStr">
        <is>
          <t>Oracle Planning: Vacancy_Driver_Dashboard — waterfall chart showing: Opening_Vacant + New_Turnover − External_Hires − Internal_Fills = Closing_Vacant. KPI tiles: Avg_Time_to_Fill, Fill_Rate, Turnover_Rate trending MoM. CUST_VacancyDriverReconcile: ensures components sum to total vacancy.</t>
        </is>
      </c>
    </row>
    <row r="60" ht="42" customHeight="1">
      <c r="A60" s="184" t="inlineStr">
        <is>
          <t>WF-57</t>
        </is>
      </c>
      <c r="B60" s="226" t="inlineStr">
        <is>
          <t>Scenarios</t>
        </is>
      </c>
      <c r="C60" s="151" t="inlineStr">
        <is>
          <t>Edge Cases</t>
        </is>
      </c>
      <c r="D60" s="151" t="inlineStr">
        <is>
          <t>Contingent vs FTE cost trade-off comparison</t>
        </is>
      </c>
      <c r="E60" s="151" t="inlineStr">
        <is>
          <t>System must enable comparative analysis of contingent workforce vs FTE cost trade-offs to support staffing decisions (e.g., convert contractor to FTE).</t>
        </is>
      </c>
      <c r="F60" s="217" t="inlineStr">
        <is>
          <t>S4</t>
        </is>
      </c>
      <c r="G60" s="219" t="inlineStr">
        <is>
          <t>P2-Should Have</t>
        </is>
      </c>
      <c r="H60" s="151" t="inlineStr">
        <is>
          <t>Oracle Planning: What-If scenario — copy current position as Contingent_Option vs FTE_Option. CUST_FTEvContingentCompare: outputs fully-loaded FTE cost vs contractor cost (incl. benefits premium, mgmt overhead vs bill rate premium). Dashboard: comparative table with break-even analysis.</t>
        </is>
      </c>
    </row>
    <row r="61" ht="42" customHeight="1">
      <c r="A61" s="186" t="inlineStr">
        <is>
          <t>WF-80</t>
        </is>
      </c>
      <c r="B61" s="227" t="inlineStr">
        <is>
          <t>Scenarios</t>
        </is>
      </c>
      <c r="C61" s="149" t="inlineStr">
        <is>
          <t>Planning Functionality</t>
        </is>
      </c>
      <c r="D61" s="149" t="inlineStr">
        <is>
          <t>Transfer between cost centres — no approval workflow required</t>
        </is>
      </c>
      <c r="E61" s="149" t="inlineStr">
        <is>
          <t>System must allow direct transfer of employees between cost centers without requiring formal approval workflow prior to processing.</t>
        </is>
      </c>
      <c r="F61" s="216" t="inlineStr">
        <is>
          <t>S4</t>
        </is>
      </c>
      <c r="G61" s="218" t="inlineStr">
        <is>
          <t>P2-Should Have</t>
        </is>
      </c>
      <c r="H61" s="149" t="inlineStr">
        <is>
          <t>Oracle Planning: CUST_CCTransfer Groovy — moves employee linkage from old CC to new CC effective from specified month. No approval gate required (distinguishes from structural reorg which requires governance). Audit log: transfer recorded with date, old CC, new CC, requester. HC counts updated immediately in both CCs.</t>
        </is>
      </c>
    </row>
    <row r="62" ht="42" customHeight="1">
      <c r="A62" s="184" t="inlineStr">
        <is>
          <t>WF-82</t>
        </is>
      </c>
      <c r="B62" s="226" t="inlineStr">
        <is>
          <t>Scenarios</t>
        </is>
      </c>
      <c r="C62" s="151" t="inlineStr">
        <is>
          <t>Planning Functionality</t>
        </is>
      </c>
      <c r="D62" s="151" t="inlineStr">
        <is>
          <t>Termination/departure effective from specified month</t>
        </is>
      </c>
      <c r="E62" s="151" t="inlineStr">
        <is>
          <t>System must allow users to plan a termination/departure effective from a specified month, with salary and related costs stopping from that month onward.</t>
        </is>
      </c>
      <c r="F62" s="217" t="inlineStr">
        <is>
          <t>S4</t>
        </is>
      </c>
      <c r="G62" s="208" t="inlineStr">
        <is>
          <t>P1-Must Have</t>
        </is>
      </c>
      <c r="H62" s="151" t="inlineStr">
        <is>
          <t>Oracle Planning WFP: CUST_TerminationLogic — input: Position_ID + Effective_Term_Month. Logic: zero all comp accounts from effective month onward. Severance: Severance_Cost = Base_Salary × Severance_Weeks/52 loaded to Severance account in effective month. FTE count: decremented from effective month. Position status → Filled_to_Vacant.</t>
        </is>
      </c>
    </row>
    <row r="63" ht="42" customHeight="1">
      <c r="A63" s="186" t="inlineStr">
        <is>
          <t>WF-86</t>
        </is>
      </c>
      <c r="B63" s="227" t="inlineStr">
        <is>
          <t>Scenarios</t>
        </is>
      </c>
      <c r="C63" s="149" t="inlineStr">
        <is>
          <t>Time Horizon</t>
        </is>
      </c>
      <c r="D63" s="149" t="inlineStr">
        <is>
          <t>3-year monthly planning horizon</t>
        </is>
      </c>
      <c r="E63" s="149" t="inlineStr">
        <is>
          <t>System must support preparation of budgets over a three-year planning horizon.</t>
        </is>
      </c>
      <c r="F63" s="205" t="inlineStr">
        <is>
          <t>Design &amp; Align</t>
        </is>
      </c>
      <c r="G63" s="206" t="inlineStr">
        <is>
          <t>P1-Must Have</t>
        </is>
      </c>
      <c r="H63" s="149" t="inlineStr">
        <is>
          <t>Oracle Planning: Year dimension — Current_Year + Year+1 + Year+2 + Year+3. Monthly granularity for all 3 years. Period dimension: 36 months active planning horizon. CUST_LongRangeForecast: assumption roll-forward for years 2-3 (escalation factors applied). Dashboard: 3-year trend view on HC and Comp.</t>
        </is>
      </c>
    </row>
    <row r="64" ht="42" customHeight="1">
      <c r="A64" s="184" t="inlineStr">
        <is>
          <t>WF-93</t>
        </is>
      </c>
      <c r="B64" s="226" t="inlineStr">
        <is>
          <t>Scenarios</t>
        </is>
      </c>
      <c r="C64" s="151" t="inlineStr">
        <is>
          <t>Planning Functionality</t>
        </is>
      </c>
      <c r="D64" s="151" t="inlineStr">
        <is>
          <t>Planners adjust driver-related inputs</t>
        </is>
      </c>
      <c r="E64" s="151" t="inlineStr">
        <is>
          <t>Ability for planners to adjust driver-related inputs to calculations, including trend-based drivers.</t>
        </is>
      </c>
      <c r="F64" s="217" t="inlineStr">
        <is>
          <t>S4</t>
        </is>
      </c>
      <c r="G64" s="208" t="inlineStr">
        <is>
          <t>P1-Must Have</t>
        </is>
      </c>
      <c r="H64" s="151" t="inlineStr">
        <is>
          <t>Oracle Planning: Driver assumption forms — open for planner input per planning unit. Drivers: Merit_Pct, COLA_Pct, Turnover_Rate, Time_to_Fill, Benefit_Rates. Lock mechanism: drivers locked at version promotion. Governance: driver changes &gt; ±X% flagged and require commentary (WF-35/36). Audit trail: all driver changes logged.</t>
        </is>
      </c>
    </row>
    <row r="65" ht="42" customHeight="1">
      <c r="A65" s="186" t="inlineStr">
        <is>
          <t>WF-97</t>
        </is>
      </c>
      <c r="B65" s="227" t="inlineStr">
        <is>
          <t>Scenarios</t>
        </is>
      </c>
      <c r="C65" s="149" t="inlineStr">
        <is>
          <t>Scenario Planning</t>
        </is>
      </c>
      <c r="D65" s="149" t="inlineStr">
        <is>
          <t>Dynamic hierarchy group selection — see only selected groups</t>
        </is>
      </c>
      <c r="E65" s="149" t="inlineStr">
        <is>
          <t>Ability for planners to select specific groups within their hierarchy level and dynamically see the associated plans and budget dollars for only those selected groups.</t>
        </is>
      </c>
      <c r="F65" s="216" t="inlineStr">
        <is>
          <t>S4</t>
        </is>
      </c>
      <c r="G65" s="218" t="inlineStr">
        <is>
          <t>P2-Should Have</t>
        </is>
      </c>
      <c r="H65" s="149" t="inlineStr">
        <is>
          <t>Oracle Planning: Smart View: member selector for ad-hoc hierarchy filtering. Planning forms: user-defined subset prompts on Entity and Department dimensions. Dashboard: dynamic filter tiles — planner selects dept/entity subset, dashboard refreshes to show only selected scope. EPM Groovy: prompt-based variable substitution.</t>
        </is>
      </c>
    </row>
    <row r="66" ht="42" customHeight="1">
      <c r="A66" s="184" t="inlineStr">
        <is>
          <t>WF-58</t>
        </is>
      </c>
      <c r="B66" s="229" t="inlineStr">
        <is>
          <t>Security</t>
        </is>
      </c>
      <c r="C66" s="151" t="inlineStr">
        <is>
          <t>Employee Data</t>
        </is>
      </c>
      <c r="D66" s="151" t="inlineStr">
        <is>
          <t>Confidentiality throughout integration pipeline</t>
        </is>
      </c>
      <c r="E66" s="151" t="inlineStr">
        <is>
          <t>WFP must ensure confidentiality of workforce data across entire integration process — from source systems through Talent Data Product into EPBCS.</t>
        </is>
      </c>
      <c r="F66" s="214" t="inlineStr">
        <is>
          <t>Design &amp; Align</t>
        </is>
      </c>
      <c r="G66" s="208" t="inlineStr">
        <is>
          <t>P1-Must Have</t>
        </is>
      </c>
      <c r="H66" s="151" t="inlineStr">
        <is>
          <t>EPM DM: TLS 1.3 in transit; AES-256 at rest. Talent Data Product: field-level encryption for salary and ICP data. Oracle Planning: no clear-text storage of employee PII. EPM access log: all data access events logged. Compliance: data classification tags on all sensitive dimensions.</t>
        </is>
      </c>
    </row>
    <row r="67" ht="42" customHeight="1">
      <c r="A67" s="186" t="inlineStr">
        <is>
          <t>WF-59</t>
        </is>
      </c>
      <c r="B67" s="230" t="inlineStr">
        <is>
          <t>Security</t>
        </is>
      </c>
      <c r="C67" s="149" t="inlineStr">
        <is>
          <t>Planning Functionality</t>
        </is>
      </c>
      <c r="D67" s="149" t="inlineStr">
        <is>
          <t>Sensitive scenarios with restricted visibility</t>
        </is>
      </c>
      <c r="E67" s="149" t="inlineStr">
        <is>
          <t>System must allow sensitive scenarios to be created and analyzed with restricted visibility from other users.</t>
        </is>
      </c>
      <c r="F67" s="210" t="inlineStr">
        <is>
          <t>S1</t>
        </is>
      </c>
      <c r="G67" s="206" t="inlineStr">
        <is>
          <t>P1-Must Have</t>
        </is>
      </c>
      <c r="H67" s="149" t="inlineStr">
        <is>
          <t>Oracle Planning: What-If versions with group-based access restriction. Job Role: Scenario_Owner has read/write; others have no access. EPM Security: data access filter on Version dimension by user group. Sensitive scenarios: Reorg_Scenario, MD+ planning, ICP sensitivity analysis — each has dedicated restricted role.</t>
        </is>
      </c>
    </row>
    <row r="68" ht="42" customHeight="1">
      <c r="A68" s="184" t="inlineStr">
        <is>
          <t>WF-60</t>
        </is>
      </c>
      <c r="B68" s="229" t="inlineStr">
        <is>
          <t>Security</t>
        </is>
      </c>
      <c r="C68" s="151" t="inlineStr">
        <is>
          <t>Employee Data</t>
        </is>
      </c>
      <c r="D68" s="151" t="inlineStr">
        <is>
          <t>Role- and dimension-based security for planning users</t>
        </is>
      </c>
      <c r="E68" s="151" t="inlineStr">
        <is>
          <t>System must support role- and dimension-based data security to protect sensitive workforce data while enabling planning users to perform their responsibilities.</t>
        </is>
      </c>
      <c r="F68" s="207" t="inlineStr">
        <is>
          <t>S1</t>
        </is>
      </c>
      <c r="G68" s="208" t="inlineStr">
        <is>
          <t>P1-Must Have</t>
        </is>
      </c>
      <c r="H68" s="151" t="inlineStr">
        <is>
          <t>Oracle Planning: 5 job roles — Planner (dept-level only), Reviewer (read all, approve own), Finance_Admin (full), HR_Admin (employee data), Read_Only (CFO/exec view). Data access filter: Dept dimension filtered per user's cost centre assignment. Row-level security on Position dimension.</t>
        </is>
      </c>
    </row>
    <row r="69" ht="42" customHeight="1">
      <c r="A69" s="186" t="inlineStr">
        <is>
          <t>WF-61</t>
        </is>
      </c>
      <c r="B69" s="230" t="inlineStr">
        <is>
          <t>Security</t>
        </is>
      </c>
      <c r="C69" s="149" t="inlineStr">
        <is>
          <t>Employee Data</t>
        </is>
      </c>
      <c r="D69" s="149" t="inlineStr">
        <is>
          <t>Anonymity thresholds for small teams</t>
        </is>
      </c>
      <c r="E69" s="149" t="inlineStr">
        <is>
          <t>System must support anonymity thresholds (e.g., minimum headcount) to prevent inference of individual compensation in small teams or cost centers.</t>
        </is>
      </c>
      <c r="F69" s="216" t="inlineStr">
        <is>
          <t>S4</t>
        </is>
      </c>
      <c r="G69" s="218" t="inlineStr">
        <is>
          <t>P2-Should Have</t>
        </is>
      </c>
      <c r="H69" s="149" t="inlineStr">
        <is>
          <t>Oracle Planning: CUST_AnonymityCheck — if Filled_HC &lt; 3 in any CC/Grade combination, suppress individual comp detail; display aggregated amount only. Narrative Reporting: minimum headcount filter on position-level reports. Dashboard: position detail hidden for sub-threshold CCs.</t>
        </is>
      </c>
    </row>
    <row r="70" ht="42" customHeight="1">
      <c r="A70" s="184" t="inlineStr">
        <is>
          <t>WF-62</t>
        </is>
      </c>
      <c r="B70" s="229" t="inlineStr">
        <is>
          <t>Security</t>
        </is>
      </c>
      <c r="C70" s="151" t="inlineStr">
        <is>
          <t>Employee Data</t>
        </is>
      </c>
      <c r="D70" s="151" t="inlineStr">
        <is>
          <t>Restricted access to MD+ compensation and ICP assumptions</t>
        </is>
      </c>
      <c r="E70" s="151" t="inlineStr">
        <is>
          <t>System must support restricted access to sensitive compensation elements (MD+ components, ICP assumptions) independent of cost centre access.</t>
        </is>
      </c>
      <c r="F70" s="207" t="inlineStr">
        <is>
          <t>S1</t>
        </is>
      </c>
      <c r="G70" s="208" t="inlineStr">
        <is>
          <t>P1-Must Have</t>
        </is>
      </c>
      <c r="H70" s="151" t="inlineStr">
        <is>
          <t>Oracle Planning: Data access filter on Account dimension — MD_Comp accounts (MD_Base, MD_ICP, MD_Bonus) restricted to HR_Admin + Finance_Admin roles. ICP assumption table: Job Role 'ICP_Manager' (HR Comp team only). Segregated from cost centre security — MD comp hidden even for dept Finance Lead.</t>
        </is>
      </c>
    </row>
    <row r="71" ht="42" customHeight="1">
      <c r="A71" s="186" t="inlineStr">
        <is>
          <t>WF-63</t>
        </is>
      </c>
      <c r="B71" s="230" t="inlineStr">
        <is>
          <t>Security</t>
        </is>
      </c>
      <c r="C71" s="149" t="inlineStr">
        <is>
          <t>Employee Data</t>
        </is>
      </c>
      <c r="D71" s="149" t="inlineStr">
        <is>
          <t>Dimension-level security — Account, CC, Job, Employee, Version</t>
        </is>
      </c>
      <c r="E71" s="149" t="inlineStr">
        <is>
          <t>System must support dimension-level security applied across: Account, Cost Center, Job, Employee, and Version, to control data visibility based on user role.</t>
        </is>
      </c>
      <c r="F71" s="210" t="inlineStr">
        <is>
          <t>S1</t>
        </is>
      </c>
      <c r="G71" s="206" t="inlineStr">
        <is>
          <t>P1-Must Have</t>
        </is>
      </c>
      <c r="H71" s="149" t="inlineStr">
        <is>
          <t>Oracle Planning Security: Data Access Filters (DAFs) per dimension. Account DAF: role-based account hierarchy visibility. Cost Center DAF: user-to-CC mapping table. Job DAF: confidential job families restricted. Employee DAF: planner sees own dept employees only. Version DAF: What-If visibility per scenario owner.</t>
        </is>
      </c>
    </row>
    <row r="72" ht="42" customHeight="1">
      <c r="A72" s="184" t="inlineStr">
        <is>
          <t>WF-03</t>
        </is>
      </c>
      <c r="B72" s="231" t="inlineStr">
        <is>
          <t>Reports / Views</t>
        </is>
      </c>
      <c r="C72" s="151" t="inlineStr">
        <is>
          <t>Reports - Audit</t>
        </is>
      </c>
      <c r="D72" s="151" t="inlineStr">
        <is>
          <t>Audit report — changes between versions</t>
        </is>
      </c>
      <c r="E72" s="151" t="inlineStr">
        <is>
          <t>System must maintain an audit trail of changes between versions, including what changed and (where applicable) why via associated commentary.</t>
        </is>
      </c>
      <c r="F72" s="217" t="inlineStr">
        <is>
          <t>S4</t>
        </is>
      </c>
      <c r="G72" s="208" t="inlineStr">
        <is>
          <t>P1-Must Have</t>
        </is>
      </c>
      <c r="H72" s="151" t="inlineStr">
        <is>
          <t>Oracle Planning: Built-in audit log — Admin → Audit. Custom: CUST_AuditReport Groovy compares Version_A vs Version_B at cell level and outputs delta report. Narrative Reporting: NR_Audit_Report template with commentary pulled from cell text. EPM Automate: weekly audit report export to SharePoint for compliance.</t>
        </is>
      </c>
    </row>
    <row r="73" ht="42" customHeight="1">
      <c r="A73" s="186" t="inlineStr">
        <is>
          <t>WF-04</t>
        </is>
      </c>
      <c r="B73" s="232" t="inlineStr">
        <is>
          <t>Reports / Views</t>
        </is>
      </c>
      <c r="C73" s="149" t="inlineStr">
        <is>
          <t>Reports - Financial</t>
        </is>
      </c>
      <c r="D73" s="149" t="inlineStr">
        <is>
          <t>Management reporting distinct from financial reporting</t>
        </is>
      </c>
      <c r="E73" s="149" t="inlineStr">
        <is>
          <t>System must support clear classification rules: Personnel vs G&amp;A costs for management reporting, without altering statutory financial reporting.</t>
        </is>
      </c>
      <c r="F73" s="216" t="inlineStr">
        <is>
          <t>S4</t>
        </is>
      </c>
      <c r="G73" s="206" t="inlineStr">
        <is>
          <t>P1-Must Have</t>
        </is>
      </c>
      <c r="H73" s="149" t="inlineStr">
        <is>
          <t>Oracle Planning: Alternate account hierarchy — 'Management_View' (Personnel / G&amp;A / ICP) vs 'Financial_View' (GL accounts). CUST_MgmtReportClassify: routes costs to correct management category. Narrative Reporting: separate NR reports per view. Smart View: Management_View vs Financial_View toggle.</t>
        </is>
      </c>
    </row>
    <row r="74" ht="42" customHeight="1">
      <c r="A74" s="184" t="inlineStr">
        <is>
          <t>WF-53</t>
        </is>
      </c>
      <c r="B74" s="231" t="inlineStr">
        <is>
          <t>Reports / Views</t>
        </is>
      </c>
      <c r="C74" s="151" t="inlineStr">
        <is>
          <t>Reports - Audit</t>
        </is>
      </c>
      <c r="D74" s="151" t="inlineStr">
        <is>
          <t>Reconciliation checkpoints — WFP vs Financial/Reporting</t>
        </is>
      </c>
      <c r="E74" s="151" t="inlineStr">
        <is>
          <t>Application must provide reconciliation checkpoints between Workforce Planning and Financial/Reporting views.</t>
        </is>
      </c>
      <c r="F74" s="217" t="inlineStr">
        <is>
          <t>S4</t>
        </is>
      </c>
      <c r="G74" s="208" t="inlineStr">
        <is>
          <t>P1-Must Have</t>
        </is>
      </c>
      <c r="H74" s="151" t="inlineStr">
        <is>
          <t>Oracle Planning: CUST_WFPtoFSReconcile — compares Personnel_Total in WFP cube vs FS cube. Reconciliation report: automated variance table — WFP_Total, FS_Total, Difference, Tolerance_Flag. Dashboard tile: reconciliation RAG status. EPM Automate: nightly reconcile job with alert on variance &gt; threshold.</t>
        </is>
      </c>
    </row>
    <row r="75" ht="42" customHeight="1">
      <c r="A75" s="186" t="inlineStr">
        <is>
          <t>WF-87</t>
        </is>
      </c>
      <c r="B75" s="232" t="inlineStr">
        <is>
          <t>Reports / Views</t>
        </is>
      </c>
      <c r="C75" s="149" t="inlineStr">
        <is>
          <t>Reports - BOR</t>
        </is>
      </c>
      <c r="D75" s="149" t="inlineStr">
        <is>
          <t>Budget Objective Report — WFP + FS cube combined</t>
        </is>
      </c>
      <c r="E75" s="149" t="inlineStr">
        <is>
          <t>System must support generation of a Budget Objective Report utilizing calculated data from both the Workforce Planning cube and the Financials (FS) cube.</t>
        </is>
      </c>
      <c r="F75" s="216" t="inlineStr">
        <is>
          <t>S4</t>
        </is>
      </c>
      <c r="G75" s="206" t="inlineStr">
        <is>
          <t>P1-Must Have</t>
        </is>
      </c>
      <c r="H75" s="149" t="inlineStr">
        <is>
          <t>Oracle Planning: BOR report uses FDMEE cross-cube extract. Narrative Reporting: BOR_Report template with embedded Smart View queries to both WFP and FS cubes. Security: role-based distribution — each dept sees only their own rollup. EPM Automate: trigger BOR generation post-Final version approval.</t>
        </is>
      </c>
    </row>
    <row r="76" ht="42" customHeight="1">
      <c r="A76" s="184" t="inlineStr">
        <is>
          <t>WF-96</t>
        </is>
      </c>
      <c r="B76" s="231" t="inlineStr">
        <is>
          <t>Reports / Views</t>
        </is>
      </c>
      <c r="C76" s="151" t="inlineStr">
        <is>
          <t>Reports - Variance</t>
        </is>
      </c>
      <c r="D76" s="151" t="inlineStr">
        <is>
          <t>Variance — prior period actuals vs prior forecast and budget</t>
        </is>
      </c>
      <c r="E76" s="151" t="inlineStr">
        <is>
          <t>Ability to see variance when comparing previous period actuals against previous period forecast and budget.</t>
        </is>
      </c>
      <c r="F76" s="217" t="inlineStr">
        <is>
          <t>S4</t>
        </is>
      </c>
      <c r="G76" s="219" t="inlineStr">
        <is>
          <t>P2-Should Have</t>
        </is>
      </c>
      <c r="H76" s="151" t="inlineStr">
        <is>
          <t>Oracle Planning: Variance accounts: Actual_vs_Budget = Actual − Budget; Actual_vs_Forecast = Actual − Forecast; Prior_Period_Variance. CUST_VarianceCalc: computed monthly. Smart View: prior-period variance template. Narrative Reporting: NR_Variance_Report with period-over-period waterfall.</t>
        </is>
      </c>
    </row>
    <row r="77" ht="42" customHeight="1">
      <c r="A77" s="186" t="inlineStr">
        <is>
          <t>WF-68</t>
        </is>
      </c>
      <c r="B77" s="233" t="inlineStr">
        <is>
          <t>Business Logic / Calculations</t>
        </is>
      </c>
      <c r="C77" s="149" t="inlineStr">
        <is>
          <t>Base Pay</t>
        </is>
      </c>
      <c r="D77" s="149" t="inlineStr">
        <is>
          <t>CALC: Avg Monthly Salary — Approved Filled Positions</t>
        </is>
      </c>
      <c r="E77" s="149" t="inlineStr">
        <is>
          <t>System must calculate Average Monthly Salary as Average of Annual Salary at Sub Dept, Location, Role and Worker Type / 12 for Approved Positions.</t>
        </is>
      </c>
      <c r="F77" s="228" t="inlineStr">
        <is>
          <t>S3</t>
        </is>
      </c>
      <c r="G77" s="206" t="inlineStr">
        <is>
          <t>P1-Must Have</t>
        </is>
      </c>
      <c r="H77" s="149" t="inlineStr">
        <is>
          <t>CUST_AvgMonthlySalary_Filled Groovy: Avg_Monthly_Salary = AVG(Annual_Salary[Sub_Dept, Location, Role, Worker_Type]) / 12 for positions where Status = Filled. Sources: Actual_Salary_Load from Talent Data Product (WF-65). Stored to: Planning assumption table AMS_Matrix[Sub_Dept, Location, Role, Worker_Type].</t>
        </is>
      </c>
    </row>
    <row r="78" ht="42" customHeight="1">
      <c r="A78" s="184" t="inlineStr">
        <is>
          <t>WF-69</t>
        </is>
      </c>
      <c r="B78" s="234" t="inlineStr">
        <is>
          <t>Business Logic / Calculations</t>
        </is>
      </c>
      <c r="C78" s="151" t="inlineStr">
        <is>
          <t>Base Pay</t>
        </is>
      </c>
      <c r="D78" s="151" t="inlineStr">
        <is>
          <t>CALC: Avg Monthly Salary — New Pending Positions (midpoint fallback)</t>
        </is>
      </c>
      <c r="E78" s="151" t="inlineStr">
        <is>
          <t>System must calculate Average Monthly Salary for New Pending Positions. If average not available, use Midpoint data received from Talent Data Product.</t>
        </is>
      </c>
      <c r="F78" s="211" t="inlineStr">
        <is>
          <t>S3</t>
        </is>
      </c>
      <c r="G78" s="208" t="inlineStr">
        <is>
          <t>P1-Must Have</t>
        </is>
      </c>
      <c r="H78" s="151" t="inlineStr">
        <is>
          <t>CUST_AvgMonthlySalary_Pending Groovy: IF AMS_Matrix[Sub_Dept, Location, Role, Worker_Type] exists THEN use average ELSE use Midpoint[Home_Location, Level] from Talent Data Product (WF-66). Logic: first check AMS_Matrix; if null, fallback to Midpoint table. Null guard: if both null, flag for Finance review.</t>
        </is>
      </c>
    </row>
    <row r="79" ht="42" customHeight="1">
      <c r="A79" s="186" t="inlineStr">
        <is>
          <t>WF-66</t>
        </is>
      </c>
      <c r="B79" s="233" t="inlineStr">
        <is>
          <t>Business Logic / Calculations</t>
        </is>
      </c>
      <c r="C79" s="149" t="inlineStr">
        <is>
          <t>Base Pay</t>
        </is>
      </c>
      <c r="D79" s="149" t="inlineStr">
        <is>
          <t>CALC: Midpoint salary from Talent Data Product</t>
        </is>
      </c>
      <c r="E79" s="149" t="inlineStr">
        <is>
          <t>Midpoint salary must be fetched from Talent Data Product by Home Location and Level to support annual salary calculations during planning and forecasting.</t>
        </is>
      </c>
      <c r="F79" s="212" t="inlineStr">
        <is>
          <t>S2</t>
        </is>
      </c>
      <c r="G79" s="206" t="inlineStr">
        <is>
          <t>P1-Must Have</t>
        </is>
      </c>
      <c r="H79" s="149" t="inlineStr">
        <is>
          <t>EPM DM: Midpoint_Load job — source: Talent Data Product midpoint extract by Home_Location + Level. Target: Oracle Planning assumption table Midpoint[Home_Location, Level]. Refresh: monthly with compensation band updates. Used by: CUST_AvgMonthlySalary_Pending (WF-69) as fallback.</t>
        </is>
      </c>
    </row>
    <row r="80" ht="42" customHeight="1">
      <c r="A80" s="184" t="inlineStr">
        <is>
          <t>WF-70</t>
        </is>
      </c>
      <c r="B80" s="234" t="inlineStr">
        <is>
          <t>Business Logic / Calculations</t>
        </is>
      </c>
      <c r="C80" s="151" t="inlineStr">
        <is>
          <t>Merit Pay</t>
        </is>
      </c>
      <c r="D80" s="151" t="inlineStr">
        <is>
          <t>CALC: Merit increase from merit month with effective date</t>
        </is>
      </c>
      <c r="E80" s="151" t="inlineStr">
        <is>
          <t>System must calculate Merit increase as Monthly Salary × Merit% starting from defined merit month.</t>
        </is>
      </c>
      <c r="F80" s="211" t="inlineStr">
        <is>
          <t>S3</t>
        </is>
      </c>
      <c r="G80" s="208" t="inlineStr">
        <is>
          <t>P1-Must Have</t>
        </is>
      </c>
      <c r="H80" s="151" t="inlineStr">
        <is>
          <t>CUST_MeritCalc Groovy: Merit_Cost_Monthly = Avg_Monthly_Salary × Merit_Pct[Grade, Year] for months &gt;= Merit_Month. Pre-merit months: no merit increment. Merit_Month configured per planning cycle in assumption table. Cumulative: April merit → compound for remainder of year. Output: Merit_Cost account per position per period.</t>
        </is>
      </c>
    </row>
    <row r="81" ht="42" customHeight="1">
      <c r="A81" s="186" t="inlineStr">
        <is>
          <t>WF-71</t>
        </is>
      </c>
      <c r="B81" s="233" t="inlineStr">
        <is>
          <t>Business Logic / Calculations</t>
        </is>
      </c>
      <c r="C81" s="149" t="inlineStr">
        <is>
          <t>Merit Pay</t>
        </is>
      </c>
      <c r="D81" s="149" t="inlineStr">
        <is>
          <t>CALC: Merit exclusion — newly promoted positions</t>
        </is>
      </c>
      <c r="E81" s="149" t="inlineStr">
        <is>
          <t>Merit calculation must not apply to Newly Promoted Positions.</t>
        </is>
      </c>
      <c r="F81" s="228" t="inlineStr">
        <is>
          <t>S3</t>
        </is>
      </c>
      <c r="G81" s="206" t="inlineStr">
        <is>
          <t>P1-Must Have</t>
        </is>
      </c>
      <c r="H81" s="149" t="inlineStr">
        <is>
          <t>CUST_MeritExclusion Groovy: IF Promotion_Flag = Y AND Promotion_Year = Current_Year THEN Merit_Pct = 0. Promotion flag set by CUST_PromotionCalc. Logic: newly promoted employees receive promotion increment instead of merit increment in the same year. Flag auto-reset to N at fiscal year start.</t>
        </is>
      </c>
    </row>
    <row r="82" ht="42" customHeight="1">
      <c r="A82" s="184" t="inlineStr">
        <is>
          <t>WF-83</t>
        </is>
      </c>
      <c r="B82" s="234" t="inlineStr">
        <is>
          <t>Business Logic / Calculations</t>
        </is>
      </c>
      <c r="C82" s="151" t="inlineStr">
        <is>
          <t>Merit Pay</t>
        </is>
      </c>
      <c r="D82" s="151" t="inlineStr">
        <is>
          <t>CALC: Merit eligibility — exclude Interns and Contingent</t>
        </is>
      </c>
      <c r="E82" s="151" t="inlineStr">
        <is>
          <t>Merit should not apply to Interns and Contingent workers; merit only applies to eligible employee types.</t>
        </is>
      </c>
      <c r="F82" s="211" t="inlineStr">
        <is>
          <t>S3</t>
        </is>
      </c>
      <c r="G82" s="208" t="inlineStr">
        <is>
          <t>P1-Must Have</t>
        </is>
      </c>
      <c r="H82" s="151" t="inlineStr">
        <is>
          <t>CUST_MeritEligibility Groovy: Merit_Pct = 0 IF Worker_Type IN ('Intern', 'Contingent_Vendor', 'Contingent_Backfill'). Eligibility table: Merit_Eligible_Flag[Worker_Type] — Regular_FTE=Y, Secondment=configurable, Intern=N, Contingent=N. Applied before CUST_MeritCalc runs.</t>
        </is>
      </c>
    </row>
    <row r="83" ht="42" customHeight="1">
      <c r="A83" s="186" t="inlineStr">
        <is>
          <t>WF-72</t>
        </is>
      </c>
      <c r="B83" s="233" t="inlineStr">
        <is>
          <t>Business Logic / Calculations</t>
        </is>
      </c>
      <c r="C83" s="149" t="inlineStr">
        <is>
          <t>Benefits</t>
        </is>
      </c>
      <c r="D83" s="149" t="inlineStr">
        <is>
          <t>CALC: Salary benefits — (Salary + Merit) × Blended Benefits%</t>
        </is>
      </c>
      <c r="E83" s="149" t="inlineStr">
        <is>
          <t>System must calculate Salary Benefits using (Salary + Merit) × Blended Benefits%.</t>
        </is>
      </c>
      <c r="F83" s="228" t="inlineStr">
        <is>
          <t>S3</t>
        </is>
      </c>
      <c r="G83" s="206" t="inlineStr">
        <is>
          <t>P1-Must Have</t>
        </is>
      </c>
      <c r="H83" s="149" t="inlineStr">
        <is>
          <t>CUST_BenefitsCalc Groovy: Benefits_Cost = (Avg_Monthly_Salary + Merit_Cost_Monthly) × Blended_Benefit_Rate[Worker_Type, Location]. Benefit_Rate table: FT_CAD=28%, PT_CAD=15%, HK=22%, BRL=35% (statutory). Includes: CPP, EI, WSIB, Group Health, Pension match. Does not include ICP benefits (handled by WF-75).</t>
        </is>
      </c>
    </row>
    <row r="84" ht="42" customHeight="1">
      <c r="A84" s="184" t="inlineStr">
        <is>
          <t>WF-81</t>
        </is>
      </c>
      <c r="B84" s="234" t="inlineStr">
        <is>
          <t>Business Logic / Calculations</t>
        </is>
      </c>
      <c r="C84" s="151" t="inlineStr">
        <is>
          <t>Promotions</t>
        </is>
      </c>
      <c r="D84" s="151" t="inlineStr">
        <is>
          <t>CALC: Promotion salary impact — Average Monthly Salary × Promotion%</t>
        </is>
      </c>
      <c r="E84" s="151" t="inlineStr">
        <is>
          <t>System must calculate promotion impact as Average Monthly Salary × Promotion%, stored separately for tracking and reporting.</t>
        </is>
      </c>
      <c r="F84" s="211" t="inlineStr">
        <is>
          <t>S3</t>
        </is>
      </c>
      <c r="G84" s="208" t="inlineStr">
        <is>
          <t>P1-Must Have</t>
        </is>
      </c>
      <c r="H84" s="151" t="inlineStr">
        <is>
          <t>CUST_PromotionCalc Groovy: Promotion_Cost = Avg_Monthly_Salary × Promotion_Rate[Dept, Grade]. Stored to dedicated 'Promotion_Increment' account (separate from Base_Salary). Promotion_Rate: Talent Data Product driver (WF-15). Sets Promotion_Flag=Y for WF-71 merit exclusion. Output: visible in position detail for audit.</t>
        </is>
      </c>
    </row>
    <row r="85" ht="42" customHeight="1">
      <c r="A85" s="186" t="inlineStr">
        <is>
          <t>WF-85</t>
        </is>
      </c>
      <c r="B85" s="233" t="inlineStr">
        <is>
          <t>Business Logic / Calculations</t>
        </is>
      </c>
      <c r="C85" s="149" t="inlineStr">
        <is>
          <t>Base Pay</t>
        </is>
      </c>
      <c r="D85" s="149" t="inlineStr">
        <is>
          <t>CALC: Salary roll-forward — last month AMS → next year base</t>
        </is>
      </c>
      <c r="E85" s="149" t="inlineStr">
        <is>
          <t>Merit-adjusted average monthly salary in last month of fiscal year must automatically roll forward and become base (average monthly salary) for subsequent budget year.</t>
        </is>
      </c>
      <c r="F85" s="228" t="inlineStr">
        <is>
          <t>S3</t>
        </is>
      </c>
      <c r="G85" s="206" t="inlineStr">
        <is>
          <t>P1-Must Have</t>
        </is>
      </c>
      <c r="H85" s="149" t="inlineStr">
        <is>
          <t>CUST_SalaryRollForward Groovy: Next_Year_Base_Salary = AMS_Month_12 (last month of current FY including merit). Runs: post-Final version lock, pre-new-year planning open. Stores: to AMS_Matrix for new fiscal year. Merit compound: ensures prior-year merit is baked into new-year starting base.</t>
        </is>
      </c>
    </row>
    <row r="86" ht="42" customHeight="1">
      <c r="A86" s="184" t="inlineStr">
        <is>
          <t>WF-74</t>
        </is>
      </c>
      <c r="B86" s="234" t="inlineStr">
        <is>
          <t>Business Logic / Calculations</t>
        </is>
      </c>
      <c r="C86" s="151" t="inlineStr">
        <is>
          <t>ICP</t>
        </is>
      </c>
      <c r="D86" s="151" t="inlineStr">
        <is>
          <t>CALC: ICP In-Year Gross Amount</t>
        </is>
      </c>
      <c r="E86" s="151" t="inlineStr">
        <is>
          <t>System must calculate ICP In-Year Gross Amount based on Annual Salary × ICP% × Multiplier Factor.</t>
        </is>
      </c>
      <c r="F86" s="211" t="inlineStr">
        <is>
          <t>S3</t>
        </is>
      </c>
      <c r="G86" s="208" t="inlineStr">
        <is>
          <t>P1-Must Have</t>
        </is>
      </c>
      <c r="H86" s="151" t="inlineStr">
        <is>
          <t>CUST_ICPInYear Groovy: ICP_InYear_Gross = Annual_Salary × ICP_Target_Pct × Total_Fund_Multiplier × Individual_Multiplier. Drivers sourced from PeopleFluent via Talent Data Product (WF-67): ICP_Target_Pct, Total_Fund_Multiplier, Individual_Multiplier, Departmental_Multiplier. Stored: ICP_InYear_Gross account per position.</t>
        </is>
      </c>
    </row>
    <row r="87" ht="42" customHeight="1">
      <c r="A87" s="186" t="inlineStr">
        <is>
          <t>WF-75</t>
        </is>
      </c>
      <c r="B87" s="233" t="inlineStr">
        <is>
          <t>Business Logic / Calculations</t>
        </is>
      </c>
      <c r="C87" s="149" t="inlineStr">
        <is>
          <t>ICP</t>
        </is>
      </c>
      <c r="D87" s="149" t="inlineStr">
        <is>
          <t>CALC: ICP In-Year Merit and associated benefits on merit-adjusted salary</t>
        </is>
      </c>
      <c r="E87" s="149" t="inlineStr">
        <is>
          <t>System must calculate ICP In-Year Merit and associated benefits based on merit-adjusted salary.</t>
        </is>
      </c>
      <c r="F87" s="228" t="inlineStr">
        <is>
          <t>S3</t>
        </is>
      </c>
      <c r="G87" s="206" t="inlineStr">
        <is>
          <t>P1-Must Have</t>
        </is>
      </c>
      <c r="H87" s="149" t="inlineStr">
        <is>
          <t>CUST_ICPMeritBenefits Groovy: ICP_Merit_Component = (Salary + Merit_Cost) × ICP_Pct × Multiplier. Benefits on ICP: ICP_Benefits = ICP_InYear_Gross × Benefit_Rate_ICP[Worker_Type]. Stored separately from base benefits (WF-72). Allows ICP cost to be tracked as distinct component in management reporting.</t>
        </is>
      </c>
    </row>
    <row r="88" ht="42" customHeight="1">
      <c r="A88" s="184" t="inlineStr">
        <is>
          <t>WF-76</t>
        </is>
      </c>
      <c r="B88" s="234" t="inlineStr">
        <is>
          <t>Business Logic / Calculations</t>
        </is>
      </c>
      <c r="C88" s="151" t="inlineStr">
        <is>
          <t>ICP</t>
        </is>
      </c>
      <c r="D88" s="151" t="inlineStr">
        <is>
          <t>CALC: Deferred ICP — current and prior years with compounding RoR</t>
        </is>
      </c>
      <c r="E88" s="151" t="inlineStr">
        <is>
          <t>System must calculate Deferred ICP amounts (current year and prior years) including compounding using applicable Rate of Return factors.</t>
        </is>
      </c>
      <c r="F88" s="211" t="inlineStr">
        <is>
          <t>S3</t>
        </is>
      </c>
      <c r="G88" s="208" t="inlineStr">
        <is>
          <t>P1-Must Have</t>
        </is>
      </c>
      <c r="H88" s="151" t="inlineStr">
        <is>
          <t>CUST_ICPDeferred Groovy: Deferred_ICP_CY = ICP_InYear_Gross × Deferred_Pct. Deferred_ICP_PY_Compound = Deferred_ICP_PY × (1 + RoR_Factor). Total_Deferred = Deferred_ICP_CY + Deferred_ICP_PY_Compound. RoR_Factor: Total_Fund_RoR from PeopleFluent. Prior year balances carried forward from EPM historical actuals.</t>
        </is>
      </c>
    </row>
    <row r="89" ht="42" customHeight="1">
      <c r="A89" s="186" t="inlineStr">
        <is>
          <t>WF-67</t>
        </is>
      </c>
      <c r="B89" s="233" t="inlineStr">
        <is>
          <t>Business Logic / Calculations</t>
        </is>
      </c>
      <c r="C89" s="149" t="inlineStr">
        <is>
          <t>ICP</t>
        </is>
      </c>
      <c r="D89" s="149" t="inlineStr">
        <is>
          <t>CALC: ICP drivers from PeopleFluent via Talent Data Product</t>
        </is>
      </c>
      <c r="E89" s="149" t="inlineStr">
        <is>
          <t>System must retrieve ICP drivers and assumptions (Target Bonus%, In-Year ICP%, Deferred%, components) from PeopleFluent via Talent Data Product.</t>
        </is>
      </c>
      <c r="F89" s="212" t="inlineStr">
        <is>
          <t>S2</t>
        </is>
      </c>
      <c r="G89" s="206" t="inlineStr">
        <is>
          <t>P1-Must Have</t>
        </is>
      </c>
      <c r="H89" s="149" t="inlineStr">
        <is>
          <t>EPM DM: ICP_Assumptions_Load — source: PeopleFluent via Talent Data Product. Target table: ICP_Assumption_Form in Oracle Planning. Fields: ICP_Target_Pct[Position_ID], In_Year_ICP_Pct, Deferred_Pct, Fund_Multiplier, PI_Multiplier, Dept_Multiplier, Total_Fund_RoR, PI_RoR. Refresh: monthly sync with quarterly quarterly cycle snapshot.</t>
        </is>
      </c>
    </row>
    <row r="90" ht="42" customHeight="1">
      <c r="A90" s="184" t="inlineStr">
        <is>
          <t>WF-77</t>
        </is>
      </c>
      <c r="B90" s="234" t="inlineStr">
        <is>
          <t>Business Logic / Calculations</t>
        </is>
      </c>
      <c r="C90" s="151" t="inlineStr">
        <is>
          <t>VDIP</t>
        </is>
      </c>
      <c r="D90" s="151" t="inlineStr">
        <is>
          <t>CALC: Fund VDIP and PI VDIP — compounding to payout year</t>
        </is>
      </c>
      <c r="E90" s="151" t="inlineStr">
        <is>
          <t>System must calculate Fund VDIP and PI VDIP (in-year and prior-year balances) including compounding logic until payout year.</t>
        </is>
      </c>
      <c r="F90" s="211" t="inlineStr">
        <is>
          <t>S3</t>
        </is>
      </c>
      <c r="G90" s="219" t="inlineStr">
        <is>
          <t>P2-Should Have</t>
        </is>
      </c>
      <c r="H90" s="151" t="inlineStr">
        <is>
          <t>CUST_VDIPCalc Groovy: Fund_VDIP_InYear = ICP_InYear_Gross × VDIP_Pct. PI_VDIP_InYear = ICP_InYear_Gross × PI_VDIP_Pct. Compounding: VDIP_Balance_t = VDIP_Balance_(t-1) × (1 + Fund_RoR) + VDIP_InYear_t. Payout year: VDIP_Payout = VDIP_Balance at defined vest date. Multiple vintages tracked: VDIP_2022, VDIP_2023, VDIP_2024 balances.</t>
        </is>
      </c>
    </row>
    <row r="91" ht="42" customHeight="1">
      <c r="A91" s="186" t="inlineStr">
        <is>
          <t>WF-73</t>
        </is>
      </c>
      <c r="B91" s="233" t="inlineStr">
        <is>
          <t>Business Logic / Calculations</t>
        </is>
      </c>
      <c r="C91" s="149" t="inlineStr">
        <is>
          <t>HK and BRL</t>
        </is>
      </c>
      <c r="D91" s="149" t="inlineStr">
        <is>
          <t>CALC: Location-specific components — HK Housing + BRL statutory</t>
        </is>
      </c>
      <c r="E91" s="149" t="inlineStr">
        <is>
          <t>System must calculate location-specific salary components: HK Housing Allowance (fixed rate, existing employees only) and BRL statutory elements (13th month, vacation bonuses).</t>
        </is>
      </c>
      <c r="F91" s="228" t="inlineStr">
        <is>
          <t>S3</t>
        </is>
      </c>
      <c r="G91" s="218" t="inlineStr">
        <is>
          <t>P2-Should Have</t>
        </is>
      </c>
      <c r="H91" s="149" t="inlineStr">
        <is>
          <t>CUST_HKHousingAllowance Groovy: IF Location = HK AND Worker_Type = Regular_FTE AND Position_Status != New_Hire THEN Housing_Allow = Fixed_HK_Rate. Excludes new hires and open positions. CUST_BRLStatutory: 13th_Month = BRL_Monthly_Salary; Vacation_Bonus = BRL_Monthly_Salary × (1/3). Applied to all BRL positions.</t>
        </is>
      </c>
    </row>
    <row r="92" ht="42" customHeight="1">
      <c r="A92" s="184" t="inlineStr">
        <is>
          <t>WF-78</t>
        </is>
      </c>
      <c r="B92" s="234" t="inlineStr">
        <is>
          <t>Business Logic / Calculations</t>
        </is>
      </c>
      <c r="C92" s="151" t="inlineStr">
        <is>
          <t>HK and BRL</t>
        </is>
      </c>
      <c r="D92" s="151" t="inlineStr">
        <is>
          <t>CALC: BRL statutory ICP — 13th month, deferred, vacation bonus</t>
        </is>
      </c>
      <c r="E92" s="151" t="inlineStr">
        <is>
          <t>System must calculate BRL statutory ICP-related bonuses (13th month, deferred, vacation bonus) derived from gross and deferred ICP components.</t>
        </is>
      </c>
      <c r="F92" s="211" t="inlineStr">
        <is>
          <t>S3</t>
        </is>
      </c>
      <c r="G92" s="219" t="inlineStr">
        <is>
          <t>P2-Should Have</t>
        </is>
      </c>
      <c r="H92" s="151" t="inlineStr">
        <is>
          <t>CUST_BRLStatutoryICP Groovy: BRL_ICP_13th = ICP_InYear_Gross / 12. BRL_ICP_Deferred_Vacation = Deferred_ICP_CY × (1/3). Total_BRL_ICP_Statutory = BRL_ICP_13th + BRL_ICP_Deferred_Vacation. Applies only to: Location = BRL. Used for payroll cost estimation in BRL planning.</t>
        </is>
      </c>
    </row>
    <row r="93" ht="42" customHeight="1">
      <c r="A93" s="186" t="inlineStr">
        <is>
          <t>WF-79</t>
        </is>
      </c>
      <c r="B93" s="233" t="inlineStr">
        <is>
          <t>Business Logic / Calculations</t>
        </is>
      </c>
      <c r="C93" s="149" t="inlineStr">
        <is>
          <t>FX</t>
        </is>
      </c>
      <c r="D93" s="149" t="inlineStr">
        <is>
          <t>CALC: FX translation — Local Currency to CAD (annual average rate)</t>
        </is>
      </c>
      <c r="E93" s="149" t="inlineStr">
        <is>
          <t>System must support FX translation from Local Currency to CAD using annual average rate.</t>
        </is>
      </c>
      <c r="F93" s="228" t="inlineStr">
        <is>
          <t>S3</t>
        </is>
      </c>
      <c r="G93" s="206" t="inlineStr">
        <is>
          <t>P1-Must Have</t>
        </is>
      </c>
      <c r="H93" s="149" t="inlineStr">
        <is>
          <t>CUST_FXTranslation Groovy: CAD_Amount = Local_Amount × FX_Rate[Currency, FY, Rate_Type='Annual_Avg']. Rate table: FX_Rates[Currency, Year] loaded from EPM DM (FX data feed or manual input). Currencies: USD, GBP, HKD, BRL, EUR → CAD. Reporting: both local currency and CAD views available via currency toggle.</t>
        </is>
      </c>
    </row>
    <row r="94" ht="42" customHeight="1">
      <c r="A94" s="184" t="inlineStr">
        <is>
          <t>WF-90</t>
        </is>
      </c>
      <c r="B94" s="234" t="inlineStr">
        <is>
          <t>Business Logic / Calculations</t>
        </is>
      </c>
      <c r="C94" s="151" t="inlineStr">
        <is>
          <t>International Assignments</t>
        </is>
      </c>
      <c r="D94" s="151" t="inlineStr">
        <is>
          <t>CALC: International assignment — legal entity FX and cost treatment</t>
        </is>
      </c>
      <c r="E94" s="151" t="inlineStr">
        <is>
          <t>Ability to reference legal entity to determine proper treatment of International Assignments (expats) and their respective currency within a cost centre.</t>
        </is>
      </c>
      <c r="F94" s="211" t="inlineStr">
        <is>
          <t>S3</t>
        </is>
      </c>
      <c r="G94" s="219" t="inlineStr">
        <is>
          <t>P2-Should Have</t>
        </is>
      </c>
      <c r="H94" s="151" t="inlineStr">
        <is>
          <t>CUST_IntlAssignmentCalc Groovy: reads Legal_Entity attribute on position. IF Position has Intl_Assignment_Flag AND Home_Entity ≠ Host_Entity: cost split per assignment agreement (host vs home CC). FX: apply Host_Currency FX rate for local costs; Home_Currency for net-back. Attribute: Intl_Assignment_Type (Short-term / Long-term / Secondment).</t>
        </is>
      </c>
    </row>
    <row r="95" ht="42" customHeight="1">
      <c r="A95" s="186" t="inlineStr">
        <is>
          <t>WF-91</t>
        </is>
      </c>
      <c r="B95" s="233" t="inlineStr">
        <is>
          <t>Business Logic / Calculations</t>
        </is>
      </c>
      <c r="C95" s="149" t="inlineStr">
        <is>
          <t>Mumbai</t>
        </is>
      </c>
      <c r="D95" s="149" t="inlineStr">
        <is>
          <t>CALC: Mumbai cost categorization — salary/benefits reconciliation</t>
        </is>
      </c>
      <c r="E95" s="149" t="inlineStr">
        <is>
          <t>Mapping capability that reconciles the cost categorization issue of salary/benefits for Mumbai.</t>
        </is>
      </c>
      <c r="F95" s="228" t="inlineStr">
        <is>
          <t>S3</t>
        </is>
      </c>
      <c r="G95" s="218" t="inlineStr">
        <is>
          <t>P2-Should Have</t>
        </is>
      </c>
      <c r="H95" s="149" t="inlineStr">
        <is>
          <t>CUST_MumbaiCostMapping Groovy: IF Location = Mumbai THEN apply Mumbai_Cost_Category_Mapping table — maps statutory salary + benefits components to correct Oracle account. Mumbai-specific: PF (Provident Fund) mapped to Benefits_Statutory; Gratuity mapped to Benefits_LongTerm; Professional_Tax mapped to Employer_Taxes. Reconciles to GL account mapping.</t>
        </is>
      </c>
    </row>
    <row r="96" ht="42" customHeight="1">
      <c r="A96" s="184" t="inlineStr">
        <is>
          <t>WF-89</t>
        </is>
      </c>
      <c r="B96" s="234" t="inlineStr">
        <is>
          <t>Business Logic / Calculations</t>
        </is>
      </c>
      <c r="C96" s="151" t="inlineStr">
        <is>
          <t>Base Pay</t>
        </is>
      </c>
      <c r="D96" s="151" t="inlineStr">
        <is>
          <t>CALC: Partial month — expected hire date for open roles</t>
        </is>
      </c>
      <c r="E96" s="151" t="inlineStr">
        <is>
          <t>Ability to utilize incoming expected hire date for open roles in planning &amp; forecasting to support partial month calculations.</t>
        </is>
      </c>
      <c r="F96" s="211" t="inlineStr">
        <is>
          <t>S3</t>
        </is>
      </c>
      <c r="G96" s="208" t="inlineStr">
        <is>
          <t>P1-Must Have</t>
        </is>
      </c>
      <c r="H96" s="151" t="inlineStr">
        <is>
          <t>CUST_PartialMonthCalc Groovy: IF Position_Status = Open AND Expected_Hire_Date is set THEN Monthly_Cost = Full_Monthly_Cost × (Days_Remaining_in_Month / Days_in_Month) for hire month. Subsequent months: full monthly cost. Hire date input: Expected_Hire_Date field on Position_Planning_Form. Cascade: all downstream calcs (merit, benefits, ICP) prorated from hire month.</t>
        </is>
      </c>
    </row>
    <row r="97" ht="42" customHeight="1">
      <c r="A97" s="186" t="inlineStr">
        <is>
          <t>WF-43+</t>
        </is>
      </c>
      <c r="B97" s="186" t="inlineStr">
        <is>
          <t xml:space="preserve"> Business Logic / Calculations</t>
        </is>
      </c>
      <c r="C97" s="149" t="inlineStr">
        <is>
          <t>Vacancy</t>
        </is>
      </c>
      <c r="D97" s="149" t="inlineStr">
        <is>
          <t>CALC: Vacancy decomposed — turnover + pipeline + time-to-fill</t>
        </is>
      </c>
      <c r="E97" s="149" t="inlineStr">
        <is>
          <t>Decomposed vacancy model: vacancy months from turnover events + hiring pipeline/time-to-fill, translated to cost impact.</t>
        </is>
      </c>
      <c r="F97" s="228" t="inlineStr">
        <is>
          <t>S3</t>
        </is>
      </c>
      <c r="G97" s="206" t="inlineStr">
        <is>
          <t>P1-Must Have</t>
        </is>
      </c>
      <c r="H97" s="149" t="inlineStr">
        <is>
          <t>CUST_VacancyDecomposed Groovy: Turnover_Vacancy_Months = Σ(days_vacant_post_departure / period_days). Pipeline_Vacancy_Months = Σ(days_unfilled_approved_open / period_days). Total_Vacancy_Months = Turnover_Vacancy + Pipeline_Vacancy. Vacancy_Savings = Avg_Monthly_Salary × Total_Vacancy_Months. Components stored as separate account members for drill-through.</t>
        </is>
      </c>
    </row>
    <row r="98" ht="42" customHeight="1">
      <c r="A98" s="184" t="inlineStr">
        <is>
          <t>WF-ADV-01</t>
        </is>
      </c>
      <c r="B98" s="234" t="inlineStr">
        <is>
          <t>Business Logic / Calculations</t>
        </is>
      </c>
      <c r="C98" s="151" t="inlineStr">
        <is>
          <t>ICP Sensitivity</t>
        </is>
      </c>
      <c r="D98" s="151" t="inlineStr">
        <is>
          <t>ICP actuals calc with sensitivity analysis (RoR impact)</t>
        </is>
      </c>
      <c r="E98" s="151" t="inlineStr">
        <is>
          <t>Calculate ICP actuals in EPBCS based on ICP assumptions (Total Fund Multiplier, Total Fund RoR, PI RoR, Individual/Departmental Multiplier, FX rates, headcount). Sensitivity: if RoR +10%, what is ICP impact?</t>
        </is>
      </c>
      <c r="F98" s="211" t="inlineStr">
        <is>
          <t>S3</t>
        </is>
      </c>
      <c r="G98" s="219" t="inlineStr">
        <is>
          <t>P2-Should Have</t>
        </is>
      </c>
      <c r="H98" s="151" t="inlineStr">
        <is>
          <t>CUST_ICPSensitivity Groovy: creates What-If ICP scenario with RoR +/-Δ%. Sensitivity range: ±5%, ±10%, ±15% on Total_Fund_RoR and PI_RoR. Output: ICP_Sensitivity_Table[RoR_Δ, ICP_Impact_$, ICP_Impact_%]. Dashboard: sensitivity tornado chart on ICP total.</t>
        </is>
      </c>
    </row>
    <row r="99" ht="42" customHeight="1">
      <c r="A99" s="186" t="inlineStr">
        <is>
          <t>WF-ADV-02</t>
        </is>
      </c>
      <c r="B99" s="233" t="inlineStr">
        <is>
          <t>Business Logic / Calculations</t>
        </is>
      </c>
      <c r="C99" s="149" t="inlineStr">
        <is>
          <t>Mass Changes</t>
        </is>
      </c>
      <c r="D99" s="149" t="inlineStr">
        <is>
          <t>Mass changes — bulk headcount transactions in single UI action</t>
        </is>
      </c>
      <c r="E99" s="149" t="inlineStr">
        <is>
          <t>Ability to transact and update multiple roles at one time within a department and mass submit to Oracle (transfers, promotions, start/end dates, role changes, type changes).</t>
        </is>
      </c>
      <c r="F99" s="216" t="inlineStr">
        <is>
          <t>S4</t>
        </is>
      </c>
      <c r="G99" s="218" t="inlineStr">
        <is>
          <t>P2-Should Have</t>
        </is>
      </c>
      <c r="H99" s="149" t="inlineStr">
        <is>
          <t>Oracle Planning: CUST_MassUpdate Groovy — accepts array input from mass-change form. Form: Mass_Change_Form with multi-row grid, checkboxes for position selection, bulk field update (effective date, new CC, new grade, new worker type). Submit: single EPM rule invocation updates all selected rows. Audit log: bulk update recorded as batch transaction.</t>
        </is>
      </c>
    </row>
    <row r="100" ht="42" customHeight="1">
      <c r="A100" s="184" t="inlineStr">
        <is>
          <t>WF-ADV-03</t>
        </is>
      </c>
      <c r="B100" s="234" t="inlineStr">
        <is>
          <t>Business Logic / Calculations</t>
        </is>
      </c>
      <c r="C100" s="151" t="inlineStr">
        <is>
          <t>Manual Adjustments</t>
        </is>
      </c>
      <c r="D100" s="151" t="inlineStr">
        <is>
          <t>Manual salary adjustment — override for specific position</t>
        </is>
      </c>
      <c r="E100" s="151" t="inlineStr">
        <is>
          <t>Ability to adjust specific salary used for an employee or open role and downstream calculations use that adjusted number.</t>
        </is>
      </c>
      <c r="F100" s="217" t="inlineStr">
        <is>
          <t>S4</t>
        </is>
      </c>
      <c r="G100" s="208" t="inlineStr">
        <is>
          <t>P1-Must Have</t>
        </is>
      </c>
      <c r="H100" s="151" t="inlineStr">
        <is>
          <t>Oracle Planning: Manual_Salary_Override flag on Position form. CUST_ManualOverrideCalc: IF Override_Flag = Y THEN use Override_Salary ELSE use AMS from matrix. Override_Salary input cell (blue, editable). Downstream: all calc rules (Merit, Benefits, ICP, VDIP) cascade from Override_Salary when flag set. Audit: override logged with requester, old value, new value.</t>
        </is>
      </c>
    </row>
    <row r="101" ht="42" customHeight="1">
      <c r="A101" s="186" t="inlineStr">
        <is>
          <t>WF-ADV-04</t>
        </is>
      </c>
      <c r="B101" s="220" t="inlineStr">
        <is>
          <t>Metadata / Dimensions</t>
        </is>
      </c>
      <c r="C101" s="149" t="inlineStr">
        <is>
          <t>Hierarchy Management</t>
        </is>
      </c>
      <c r="D101" s="149" t="inlineStr">
        <is>
          <t>Centrally managed hierarchies — aligned with all source systems</t>
        </is>
      </c>
      <c r="E101" s="149" t="inlineStr">
        <is>
          <t>Any data warehouse/source (Data Fabric/SCD, Oracle Financials) integrated with ETL tool to ensure metadata/hierarchies updated. Oracle Financials CC Hierarchy + Account Hierarchies aligned.</t>
        </is>
      </c>
      <c r="F101" s="212" t="inlineStr">
        <is>
          <t>S2</t>
        </is>
      </c>
      <c r="G101" s="206" t="inlineStr">
        <is>
          <t>P1-Must Have</t>
        </is>
      </c>
      <c r="H101" s="149" t="inlineStr">
        <is>
          <t>EPM DM: Hierarchy_Sync_Load job — source: Oracle Financials CC Hierarchy via Data Fabric. Nightly delta load: adds new CCs, renames changed, marks deleted as inactive. Oracle Planning: Admin hierarchy refresh post-load. LCM snapshot before each hierarchy sync. Alert: hierarchy change email notification to Finance_Admin.</t>
        </is>
      </c>
    </row>
    <row r="102" ht="42" customHeight="1">
      <c r="A102" s="184" t="inlineStr">
        <is>
          <t>WF-ADV-05</t>
        </is>
      </c>
      <c r="B102" s="226" t="inlineStr">
        <is>
          <t>Scenarios</t>
        </is>
      </c>
      <c r="C102" s="151" t="inlineStr">
        <is>
          <t>Long Range</t>
        </is>
      </c>
      <c r="D102" s="151" t="inlineStr">
        <is>
          <t>3–5 year cost projection on rolling basis</t>
        </is>
      </c>
      <c r="E102" s="151" t="inlineStr">
        <is>
          <t>Ability to update assumptions and headcount profile into future long-range plan years (current year +2/+3/+4/+5) on rolling basis if required and have system cost appropriately.</t>
        </is>
      </c>
      <c r="F102" s="217" t="inlineStr">
        <is>
          <t>S4</t>
        </is>
      </c>
      <c r="G102" s="219" t="inlineStr">
        <is>
          <t>P2-Should Have</t>
        </is>
      </c>
      <c r="H102" s="151" t="inlineStr">
        <is>
          <t>Oracle Planning: Year dimension — Year+1 through Year+5. CUST_LongRangeForecast: applies escalation factors for years 3-5 (Headcount_Growth%, Salary_Escalation%, Benefit_Rate_Trend%). Assumption table: LRP_Drivers[Year, Factor]. Dashboard: 5-year HC and Comp trend chart. EPM Automate: annual LRP refresh job.</t>
        </is>
      </c>
    </row>
    <row r="103" ht="42" customHeight="1">
      <c r="A103" s="186" t="inlineStr">
        <is>
          <t>WF-ADV-06</t>
        </is>
      </c>
      <c r="B103" s="225" t="inlineStr">
        <is>
          <t>Data Integration</t>
        </is>
      </c>
      <c r="C103" s="149" t="inlineStr">
        <is>
          <t>Push to Reporting</t>
        </is>
      </c>
      <c r="D103" s="149" t="inlineStr">
        <is>
          <t>User-triggered push: WFP calc module → REP WFP reporting module</t>
        </is>
      </c>
      <c r="E103" s="149" t="inlineStr">
        <is>
          <t>User should be able to push data from calc (CLC WFP) module to reporting (REP WFP) without requiring BI team. Can trigger by dept.</t>
        </is>
      </c>
      <c r="F103" s="216" t="inlineStr">
        <is>
          <t>S4</t>
        </is>
      </c>
      <c r="G103" s="206" t="inlineStr">
        <is>
          <t>P1-Must Have</t>
        </is>
      </c>
      <c r="H103" s="149" t="inlineStr">
        <is>
          <t>Oracle Planning: EPM Automate 'Push_to_REP' job exposed via Planning form button (no BI team needed). Dept-level scope: user selects their dept, push runs for that dept only. Copy: CUST_WFPtoREP copies approved version to REP cube. Confirmation: success toast notification on form. Audit log: push timestamp, user, dept, version.</t>
        </is>
      </c>
    </row>
    <row r="104" ht="42" customHeight="1">
      <c r="A104" s="184" t="inlineStr">
        <is>
          <t>WF-ADV-07</t>
        </is>
      </c>
      <c r="B104" s="224" t="inlineStr">
        <is>
          <t>Data Integration</t>
        </is>
      </c>
      <c r="C104" s="151" t="inlineStr">
        <is>
          <t>Push to FS</t>
        </is>
      </c>
      <c r="D104" s="151" t="inlineStr">
        <is>
          <t>User-triggered push: WFP calc module → FS module for aggregation</t>
        </is>
      </c>
      <c r="E104" s="151" t="inlineStr">
        <is>
          <t>User should be able to push data from calc (CLC WFP) to FS module (Financial Statement) for aggregation. By dept, without BI team.</t>
        </is>
      </c>
      <c r="F104" s="217" t="inlineStr">
        <is>
          <t>S4</t>
        </is>
      </c>
      <c r="G104" s="208" t="inlineStr">
        <is>
          <t>P1-Must Have</t>
        </is>
      </c>
      <c r="H104" s="151" t="inlineStr">
        <is>
          <t>Oracle Planning: EPM Automate 'Push_to_FS' job — user-triggered from Planning form. Dept-level: maps WFP Personnel accounts to FS Personnel accounts. CUST_WFPtoFS Groovy: validates reconciliation before write (WF-53). Confirmation: reconciliation report auto-generated post-push. FS cube: receives Personnel_Total by CC, Period, Scenario.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48" customWidth="1" min="5" max="5"/>
    <col width="14" customWidth="1" min="6" max="6"/>
  </cols>
  <sheetData>
    <row r="1" ht="30" customHeight="1">
      <c r="A1" s="204" t="inlineStr">
        <is>
          <t xml:space="preserve">  SPRINT-MAPPED REQUIREMENTS  |  Position-Based Planning  |  Oracle EPM WFP Release 1a</t>
        </is>
      </c>
    </row>
    <row r="2" ht="22" customHeight="1">
      <c r="A2" s="235" t="inlineStr">
        <is>
          <t xml:space="preserve">  ▶  DESIGN &amp; ALIGN  —  Jan–Feb 2025 — Architecture, dimension design, governance frameworks, position-based planning design  [13 requirements]</t>
        </is>
      </c>
    </row>
    <row r="3" ht="16" customHeight="1">
      <c r="A3" s="106" t="inlineStr">
        <is>
          <t>#</t>
        </is>
      </c>
      <c r="B3" s="106" t="inlineStr">
        <is>
          <t>Req ID</t>
        </is>
      </c>
      <c r="C3" s="106" t="inlineStr">
        <is>
          <t>Category</t>
        </is>
      </c>
      <c r="D3" s="106" t="inlineStr">
        <is>
          <t>Short Description</t>
        </is>
      </c>
      <c r="E3" s="106" t="inlineStr">
        <is>
          <t>Oracle EPM Config (Summary)</t>
        </is>
      </c>
      <c r="F3" s="106" t="inlineStr">
        <is>
          <t>Priority</t>
        </is>
      </c>
    </row>
    <row r="4" ht="38" customHeight="1">
      <c r="A4" s="151" t="n">
        <v>1</v>
      </c>
      <c r="B4" s="214" t="inlineStr">
        <is>
          <t>WF-01</t>
        </is>
      </c>
      <c r="C4" s="151" t="inlineStr">
        <is>
          <t>Governance &amp; Controls
Version Control</t>
        </is>
      </c>
      <c r="D4" s="151" t="inlineStr">
        <is>
          <t>Version control for cost centre structures</t>
        </is>
      </c>
      <c r="E4" s="151" t="inlineStr">
        <is>
          <t>Oracle Planning: LCM Lifecycle Management for hierarchy snapshots. Admin → Dimension Editor: Cost Centre hierarchy versioned via Named Sets. Promote via Admin → Application Managem</t>
        </is>
      </c>
      <c r="F4" s="208" t="inlineStr">
        <is>
          <t>P1-Must Have</t>
        </is>
      </c>
    </row>
    <row r="5" ht="38" customHeight="1">
      <c r="A5" s="149" t="n">
        <v>2</v>
      </c>
      <c r="B5" s="205" t="inlineStr">
        <is>
          <t>WF-13</t>
        </is>
      </c>
      <c r="C5" s="149" t="inlineStr">
        <is>
          <t>Governance &amp; Controls
Baseline Data</t>
        </is>
      </c>
      <c r="D5" s="149" t="inlineStr">
        <is>
          <t>Traceability to Management Hierarchy</t>
        </is>
      </c>
      <c r="E5" s="149" t="inlineStr">
        <is>
          <t>Oracle Planning: Alternate hierarchy 'Management_View' on Account dimension. Smart View: XREF formula maps GL account → management category. Narrative Reporting: management groupin</t>
        </is>
      </c>
      <c r="F5" s="206" t="inlineStr">
        <is>
          <t>P1-Must Have</t>
        </is>
      </c>
    </row>
    <row r="6" ht="38" customHeight="1">
      <c r="A6" s="151" t="n">
        <v>3</v>
      </c>
      <c r="B6" s="214" t="inlineStr">
        <is>
          <t>WF-19</t>
        </is>
      </c>
      <c r="C6" s="151" t="inlineStr">
        <is>
          <t>Position-Based Planning
Planning Functionality</t>
        </is>
      </c>
      <c r="D6" s="151" t="inlineStr">
        <is>
          <t>Position-based planning (below MD) + employee-based (MD+)</t>
        </is>
      </c>
      <c r="E6" s="151" t="inlineStr">
        <is>
          <t xml:space="preserve">Oracle Planning WFP module: Enable Position-Based Planning. Dimension: Position ID as sparse dimension. WF-19: position-employee linkage. WF-84: MD+ planning at Employee_ID level. </t>
        </is>
      </c>
      <c r="F6" s="208" t="inlineStr">
        <is>
          <t>P1-Must Have</t>
        </is>
      </c>
    </row>
    <row r="7" ht="38" customHeight="1">
      <c r="A7" s="149" t="n">
        <v>4</v>
      </c>
      <c r="B7" s="205" t="inlineStr">
        <is>
          <t>WF-20</t>
        </is>
      </c>
      <c r="C7" s="149" t="inlineStr">
        <is>
          <t>Metadata / Dimensions
Hierarchy</t>
        </is>
      </c>
      <c r="D7" s="149" t="inlineStr">
        <is>
          <t>Consistent CC naming — employees-only cost centres</t>
        </is>
      </c>
      <c r="E7" s="149" t="inlineStr">
        <is>
          <t>Oracle Planning: Separate WFP_CostCentre hierarchy (subset of GL CC hierarchy). EPM DM: filter load to include only CCs with Employee_Count &gt; 0. Admin → Dimension Editor: alternate</t>
        </is>
      </c>
      <c r="F7" s="206" t="inlineStr">
        <is>
          <t>P1-Must Have</t>
        </is>
      </c>
    </row>
    <row r="8" ht="38" customHeight="1">
      <c r="A8" s="151" t="n">
        <v>5</v>
      </c>
      <c r="B8" s="214" t="inlineStr">
        <is>
          <t>WF-32</t>
        </is>
      </c>
      <c r="C8" s="151" t="inlineStr">
        <is>
          <t>Metadata / Dimensions
Hierarchy</t>
        </is>
      </c>
      <c r="D8" s="151" t="inlineStr">
        <is>
          <t>Financial vs. Management hierarchies for personnel costs</t>
        </is>
      </c>
      <c r="E8" s="151" t="inlineStr">
        <is>
          <t>Oracle Planning: Two alternate hierarchies on Entity + Account dimensions — 'Financial_View' (GL/statutory) and 'Management_View'. Smart View: hierarchy selector for ad-hoc. Narrat</t>
        </is>
      </c>
      <c r="F8" s="208" t="inlineStr">
        <is>
          <t>P1-Must Have</t>
        </is>
      </c>
    </row>
    <row r="9" ht="38" customHeight="1">
      <c r="A9" s="149" t="n">
        <v>6</v>
      </c>
      <c r="B9" s="205" t="inlineStr">
        <is>
          <t>WF-21</t>
        </is>
      </c>
      <c r="C9" s="149" t="inlineStr">
        <is>
          <t>Metadata / Dimensions
Dimensions</t>
        </is>
      </c>
      <c r="D9" s="149" t="inlineStr">
        <is>
          <t>Location as dimension (not attribute)</t>
        </is>
      </c>
      <c r="E9" s="149" t="inlineStr">
        <is>
          <t>Oracle Planning: 'Location' as sparse dimension — not a UDA/attribute. Members: Country → Region → City → Office. Used in: CUST_HKHousingAllowance, CUST_FXTranslation, CUST_IntlAss</t>
        </is>
      </c>
      <c r="F9" s="206" t="inlineStr">
        <is>
          <t>P1-Must Have</t>
        </is>
      </c>
    </row>
    <row r="10" ht="38" customHeight="1">
      <c r="A10" s="151" t="n">
        <v>7</v>
      </c>
      <c r="B10" s="214" t="inlineStr">
        <is>
          <t>WF-26</t>
        </is>
      </c>
      <c r="C10" s="151" t="inlineStr">
        <is>
          <t>Metadata / Dimensions
Dimensions</t>
        </is>
      </c>
      <c r="D10" s="151" t="inlineStr">
        <is>
          <t>Project dimension for future cube integration</t>
        </is>
      </c>
      <c r="E10" s="151" t="inlineStr">
        <is>
          <t xml:space="preserve">Oracle Planning: 'Project' dimension — stub hierarchy for Release 1a (NoProject + TBD members). Future: EPM Data Management integration with Project Planning cube. Dimension type: </t>
        </is>
      </c>
      <c r="F10" s="219" t="inlineStr">
        <is>
          <t>P2-Should Have</t>
        </is>
      </c>
    </row>
    <row r="11" ht="38" customHeight="1">
      <c r="A11" s="149" t="n">
        <v>8</v>
      </c>
      <c r="B11" s="205" t="inlineStr">
        <is>
          <t>WF-23</t>
        </is>
      </c>
      <c r="C11" s="149" t="inlineStr">
        <is>
          <t>Metadata / Dimensions
Dimensions</t>
        </is>
      </c>
      <c r="D11" s="149" t="inlineStr">
        <is>
          <t>Dimension optimization for application performance</t>
        </is>
      </c>
      <c r="E11" s="149" t="inlineStr">
        <is>
          <t>Oracle Planning BSO/ASO design: Dense dimensions — Account + Period. Sparse — Entity, Department, Position, Scenario, Version, Location, Job. Keep Position hierarchy shallow. Aggre</t>
        </is>
      </c>
      <c r="F11" s="206" t="inlineStr">
        <is>
          <t>P1-Must Have</t>
        </is>
      </c>
    </row>
    <row r="12" ht="38" customHeight="1">
      <c r="A12" s="151" t="n">
        <v>9</v>
      </c>
      <c r="B12" s="214" t="inlineStr">
        <is>
          <t>WF-33</t>
        </is>
      </c>
      <c r="C12" s="151" t="inlineStr">
        <is>
          <t>Metadata / Dimensions
Hierarchy</t>
        </is>
      </c>
      <c r="D12" s="151" t="inlineStr">
        <is>
          <t>Personnel cost categories not driven by positions</t>
        </is>
      </c>
      <c r="E12" s="151" t="inlineStr">
        <is>
          <t>Oracle Planning: Account dimension — 'Personnel_NonPosition' sub-hierarchy: Severance, Payroll_Admin, Employee_Acquisition, Employer_Taxes. These accounts planned directly (not dri</t>
        </is>
      </c>
      <c r="F12" s="208" t="inlineStr">
        <is>
          <t>P1-Must Have</t>
        </is>
      </c>
    </row>
    <row r="13" ht="38" customHeight="1">
      <c r="A13" s="149" t="n">
        <v>10</v>
      </c>
      <c r="B13" s="205" t="inlineStr">
        <is>
          <t>WF-30</t>
        </is>
      </c>
      <c r="C13" s="149" t="inlineStr">
        <is>
          <t>Metadata / Dimensions
Data</t>
        </is>
      </c>
      <c r="D13" s="149" t="inlineStr">
        <is>
          <t>Turnover definition — departures only, not internal moves</t>
        </is>
      </c>
      <c r="E13" s="149" t="inlineStr">
        <is>
          <t>Oracle Planning: Account dimension — 'Turnover' account = external departures only. Separate account 'Internal_Transfer' for role moves. CUST_TurnoverCalc: sources from Workday Tur</t>
        </is>
      </c>
      <c r="F13" s="206" t="inlineStr">
        <is>
          <t>P1-Must Have</t>
        </is>
      </c>
    </row>
    <row r="14" ht="38" customHeight="1">
      <c r="A14" s="151" t="n">
        <v>11</v>
      </c>
      <c r="B14" s="214" t="inlineStr">
        <is>
          <t>WF-29</t>
        </is>
      </c>
      <c r="C14" s="151" t="inlineStr">
        <is>
          <t>Metadata / Dimensions
Position Structure</t>
        </is>
      </c>
      <c r="D14" s="151" t="inlineStr">
        <is>
          <t>Worker type dimension — Regular/Intern/Secondment/Contingent</t>
        </is>
      </c>
      <c r="E14" s="151" t="inlineStr">
        <is>
          <t>Oracle Planning: 'Worker_Type' dimension — Regular_FTE, Intern, Secondment, Contingent_Vendor, Contingent_Backfill. Used by: CUST_MeritEligibility (excludes Interns/Contingent), CU</t>
        </is>
      </c>
      <c r="F14" s="208" t="inlineStr">
        <is>
          <t>P1-Must Have</t>
        </is>
      </c>
    </row>
    <row r="15" ht="38" customHeight="1">
      <c r="A15" s="149" t="n">
        <v>12</v>
      </c>
      <c r="B15" s="205" t="inlineStr">
        <is>
          <t>WF-86</t>
        </is>
      </c>
      <c r="C15" s="149" t="inlineStr">
        <is>
          <t>Scenarios
Time Horizon</t>
        </is>
      </c>
      <c r="D15" s="149" t="inlineStr">
        <is>
          <t>3-year monthly planning horizon</t>
        </is>
      </c>
      <c r="E15" s="149" t="inlineStr">
        <is>
          <t>Oracle Planning: Year dimension — Current_Year + Year+1 + Year+2 + Year+3. Monthly granularity for all 3 years. Period dimension: 36 months active planning horizon. CUST_LongRangeF</t>
        </is>
      </c>
      <c r="F15" s="206" t="inlineStr">
        <is>
          <t>P1-Must Have</t>
        </is>
      </c>
    </row>
    <row r="16" ht="38" customHeight="1">
      <c r="A16" s="151" t="n">
        <v>13</v>
      </c>
      <c r="B16" s="214" t="inlineStr">
        <is>
          <t>WF-58</t>
        </is>
      </c>
      <c r="C16" s="151" t="inlineStr">
        <is>
          <t>Security
Employee Data</t>
        </is>
      </c>
      <c r="D16" s="151" t="inlineStr">
        <is>
          <t>Confidentiality throughout integration pipeline</t>
        </is>
      </c>
      <c r="E16" s="151" t="inlineStr">
        <is>
          <t>EPM DM: TLS 1.3 in transit; AES-256 at rest. Talent Data Product: field-level encryption for salary and ICP data. Oracle Planning: no clear-text storage of employee PII. EPM access</t>
        </is>
      </c>
      <c r="F16" s="208" t="inlineStr">
        <is>
          <t>P1-Must Have</t>
        </is>
      </c>
    </row>
    <row r="17"/>
    <row r="18" ht="22" customHeight="1">
      <c r="A18" s="236" t="inlineStr">
        <is>
          <t xml:space="preserve">  ▶  S1  —  Mar 2025 — Environment, metadata load, version control, security, position lifecycle, 5 std Oracle rules  [13 requirements]</t>
        </is>
      </c>
    </row>
    <row r="19" ht="16" customHeight="1">
      <c r="A19" s="106" t="inlineStr">
        <is>
          <t>#</t>
        </is>
      </c>
      <c r="B19" s="106" t="inlineStr">
        <is>
          <t>Req ID</t>
        </is>
      </c>
      <c r="C19" s="106" t="inlineStr">
        <is>
          <t>Category</t>
        </is>
      </c>
      <c r="D19" s="106" t="inlineStr">
        <is>
          <t>Short Description</t>
        </is>
      </c>
      <c r="E19" s="106" t="inlineStr">
        <is>
          <t>Oracle EPM Config (Summary)</t>
        </is>
      </c>
      <c r="F19" s="106" t="inlineStr">
        <is>
          <t>Priority</t>
        </is>
      </c>
    </row>
    <row r="20" ht="38" customHeight="1">
      <c r="A20" s="151" t="n">
        <v>1</v>
      </c>
      <c r="B20" s="207" t="inlineStr">
        <is>
          <t>WF-02</t>
        </is>
      </c>
      <c r="C20" s="151" t="inlineStr">
        <is>
          <t>Governance &amp; Controls
Version Control</t>
        </is>
      </c>
      <c r="D20" s="151" t="inlineStr">
        <is>
          <t>Approval process for Final budget changes</t>
        </is>
      </c>
      <c r="E20" s="151" t="inlineStr">
        <is>
          <t>Oracle Planning: Planning Unit Hierarchy → Top-of-house owner. Approval workflow: Status = 'Approved' locks version. Override requires Admin role + SteerCo change request. Business</t>
        </is>
      </c>
      <c r="F20" s="208" t="inlineStr">
        <is>
          <t>P1-Must Have</t>
        </is>
      </c>
    </row>
    <row r="21" ht="38" customHeight="1">
      <c r="A21" s="149" t="n">
        <v>2</v>
      </c>
      <c r="B21" s="210" t="inlineStr">
        <is>
          <t>WF-41</t>
        </is>
      </c>
      <c r="C21" s="149" t="inlineStr">
        <is>
          <t>Governance &amp; Controls
Version Control</t>
        </is>
      </c>
      <c r="D21" s="149" t="inlineStr">
        <is>
          <t>Formal version progression Baseline→Working→Final</t>
        </is>
      </c>
      <c r="E21" s="149" t="inlineStr">
        <is>
          <t>Oracle Planning: Version dimension — Baseline (locked, read-only), Working (open submission), Draft_1/2, Final (locked post-approval). Planning Unit Hierarchy: status transitions e</t>
        </is>
      </c>
      <c r="F21" s="206" t="inlineStr">
        <is>
          <t>P1-Must Have</t>
        </is>
      </c>
    </row>
    <row r="22" ht="38" customHeight="1">
      <c r="A22" s="151" t="n">
        <v>3</v>
      </c>
      <c r="B22" s="207" t="inlineStr">
        <is>
          <t>WF-84</t>
        </is>
      </c>
      <c r="C22" s="151" t="inlineStr">
        <is>
          <t>Position-Based Planning
Planning Functionality</t>
        </is>
      </c>
      <c r="D22" s="151" t="inlineStr">
        <is>
          <t>MD+ employee-level planning (individual salary)</t>
        </is>
      </c>
      <c r="E22" s="151" t="inlineStr">
        <is>
          <t>Oracle Planning: MD+ flag on Grade dimension member. CUST_MDPlusPlanning Groovy: when Grade_Flag = 'MD+', source from Employee_ID actual salary. Security: Job Role 'MD_Planner' res</t>
        </is>
      </c>
      <c r="F22" s="208" t="inlineStr">
        <is>
          <t>P1-Must Have</t>
        </is>
      </c>
    </row>
    <row r="23" ht="38" customHeight="1">
      <c r="A23" s="149" t="n">
        <v>4</v>
      </c>
      <c r="B23" s="210" t="inlineStr">
        <is>
          <t>WF-28</t>
        </is>
      </c>
      <c r="C23" s="149" t="inlineStr">
        <is>
          <t>Position-Based Planning
Position Structure</t>
        </is>
      </c>
      <c r="D23" s="149" t="inlineStr">
        <is>
          <t>Position lifecycle statuses (unfilled/filled/pending)</t>
        </is>
      </c>
      <c r="E23" s="149" t="inlineStr">
        <is>
          <t xml:space="preserve">Oracle Planning WFP: Position Status attribute — values: Filled, Unfilled, Pending_Hire, On_Leave, Pipeline. Custom attribute on Position dimension. CUST_PositionLifecycle Groovy: </t>
        </is>
      </c>
      <c r="F23" s="206" t="inlineStr">
        <is>
          <t>P1-Must Have</t>
        </is>
      </c>
    </row>
    <row r="24" ht="38" customHeight="1">
      <c r="A24" s="151" t="n">
        <v>5</v>
      </c>
      <c r="B24" s="207" t="inlineStr">
        <is>
          <t>WF-27</t>
        </is>
      </c>
      <c r="C24" s="151" t="inlineStr">
        <is>
          <t>Metadata / Dimensions
Dimensions</t>
        </is>
      </c>
      <c r="D24" s="151" t="inlineStr">
        <is>
          <t>Version dimension — Enterprise and What-If categories</t>
        </is>
      </c>
      <c r="E24" s="151" t="inlineStr">
        <is>
          <t>Oracle Planning: Version dimension members — Enterprise: Baseline, Working, Draft_1, Draft_2, Final. What-If: WhatIf_A, WhatIf_B, WhatIf_C, WhatIf_D, WhatIf_E (5 max). UDA: 'Enterp</t>
        </is>
      </c>
      <c r="F24" s="208" t="inlineStr">
        <is>
          <t>P1-Must Have</t>
        </is>
      </c>
    </row>
    <row r="25" ht="38" customHeight="1">
      <c r="A25" s="149" t="n">
        <v>6</v>
      </c>
      <c r="B25" s="210" t="inlineStr">
        <is>
          <t>WF-22</t>
        </is>
      </c>
      <c r="C25" s="149" t="inlineStr">
        <is>
          <t>Metadata / Dimensions
Scenarios</t>
        </is>
      </c>
      <c r="D25" s="149" t="inlineStr">
        <is>
          <t>Version lifecycle management — limited, managed</t>
        </is>
      </c>
      <c r="E25" s="149" t="inlineStr">
        <is>
          <t>Oracle Planning: Annual version cleanup job via EPM Automate — archive What-If versions after cycle close. CUST_VersionArchive: promotes selected What-If to named version or delete</t>
        </is>
      </c>
      <c r="F25" s="206" t="inlineStr">
        <is>
          <t>P1-Must Have</t>
        </is>
      </c>
    </row>
    <row r="26" ht="38" customHeight="1">
      <c r="A26" s="151" t="n">
        <v>7</v>
      </c>
      <c r="B26" s="207" t="inlineStr">
        <is>
          <t>WF-25</t>
        </is>
      </c>
      <c r="C26" s="151" t="inlineStr">
        <is>
          <t>Metadata / Dimensions
Dimensions</t>
        </is>
      </c>
      <c r="D26" s="151" t="inlineStr">
        <is>
          <t>Multi-currency — regional/local currency + FX impact</t>
        </is>
      </c>
      <c r="E26" s="151" t="inlineStr">
        <is>
          <t>Oracle Planning: Enable currency in Application Settings. Reporting Currency: CAD. Input currencies per location: USD, GBP, HKD, BRL, EUR. Exchange rate table: FX_Rates[Currency, Y</t>
        </is>
      </c>
      <c r="F26" s="208" t="inlineStr">
        <is>
          <t>P1-Must Have</t>
        </is>
      </c>
    </row>
    <row r="27" ht="38" customHeight="1">
      <c r="A27" s="149" t="n">
        <v>8</v>
      </c>
      <c r="B27" s="210" t="inlineStr">
        <is>
          <t>WF-06</t>
        </is>
      </c>
      <c r="C27" s="149" t="inlineStr">
        <is>
          <t>Scenarios
Planning Functionality</t>
        </is>
      </c>
      <c r="D27" s="149" t="inlineStr">
        <is>
          <t>New cost centre structure without overwriting historical</t>
        </is>
      </c>
      <c r="E27" s="149" t="inlineStr">
        <is>
          <t>Oracle Planning: Scenario 'Reorg_Sandbox' with experimental CC hierarchy. LCM snapshot of current hierarchy before reorg enactment. CUST_ReorgMapping: maps employees/positions from</t>
        </is>
      </c>
      <c r="F27" s="206" t="inlineStr">
        <is>
          <t>P1-Must Have</t>
        </is>
      </c>
    </row>
    <row r="28" ht="38" customHeight="1">
      <c r="A28" s="151" t="n">
        <v>9</v>
      </c>
      <c r="B28" s="207" t="inlineStr">
        <is>
          <t>WF-38</t>
        </is>
      </c>
      <c r="C28" s="151" t="inlineStr">
        <is>
          <t>Scenarios
Planning Functionality</t>
        </is>
      </c>
      <c r="D28" s="151" t="inlineStr">
        <is>
          <t>Up to 5 What-If scenarios — not maintained after cycle unless promoted</t>
        </is>
      </c>
      <c r="E28" s="151" t="inlineStr">
        <is>
          <t>Oracle Planning: Version dimension What-If members: WhatIf_A through WhatIf_E. CUST_WhatIfCreate: copies Working version to What-If on user request. EPM Automate: end-of-cycle clea</t>
        </is>
      </c>
      <c r="F28" s="208" t="inlineStr">
        <is>
          <t>P1-Must Have</t>
        </is>
      </c>
    </row>
    <row r="29" ht="38" customHeight="1">
      <c r="A29" s="149" t="n">
        <v>10</v>
      </c>
      <c r="B29" s="210" t="inlineStr">
        <is>
          <t>WF-59</t>
        </is>
      </c>
      <c r="C29" s="149" t="inlineStr">
        <is>
          <t>Security
Planning Functionality</t>
        </is>
      </c>
      <c r="D29" s="149" t="inlineStr">
        <is>
          <t>Sensitive scenarios with restricted visibility</t>
        </is>
      </c>
      <c r="E29" s="149" t="inlineStr">
        <is>
          <t>Oracle Planning: What-If versions with group-based access restriction. Job Role: Scenario_Owner has read/write; others have no access. EPM Security: data access filter on Version d</t>
        </is>
      </c>
      <c r="F29" s="206" t="inlineStr">
        <is>
          <t>P1-Must Have</t>
        </is>
      </c>
    </row>
    <row r="30" ht="38" customHeight="1">
      <c r="A30" s="151" t="n">
        <v>11</v>
      </c>
      <c r="B30" s="207" t="inlineStr">
        <is>
          <t>WF-60</t>
        </is>
      </c>
      <c r="C30" s="151" t="inlineStr">
        <is>
          <t>Security
Employee Data</t>
        </is>
      </c>
      <c r="D30" s="151" t="inlineStr">
        <is>
          <t>Role- and dimension-based security for planning users</t>
        </is>
      </c>
      <c r="E30" s="151" t="inlineStr">
        <is>
          <t>Oracle Planning: 5 job roles — Planner (dept-level only), Reviewer (read all, approve own), Finance_Admin (full), HR_Admin (employee data), Read_Only (CFO/exec view). Data access f</t>
        </is>
      </c>
      <c r="F30" s="208" t="inlineStr">
        <is>
          <t>P1-Must Have</t>
        </is>
      </c>
    </row>
    <row r="31" ht="38" customHeight="1">
      <c r="A31" s="149" t="n">
        <v>12</v>
      </c>
      <c r="B31" s="210" t="inlineStr">
        <is>
          <t>WF-62</t>
        </is>
      </c>
      <c r="C31" s="149" t="inlineStr">
        <is>
          <t>Security
Employee Data</t>
        </is>
      </c>
      <c r="D31" s="149" t="inlineStr">
        <is>
          <t>Restricted access to MD+ compensation and ICP assumptions</t>
        </is>
      </c>
      <c r="E31" s="149" t="inlineStr">
        <is>
          <t>Oracle Planning: Data access filter on Account dimension — MD_Comp accounts (MD_Base, MD_ICP, MD_Bonus) restricted to HR_Admin + Finance_Admin roles. ICP assumption table: Job Role</t>
        </is>
      </c>
      <c r="F31" s="206" t="inlineStr">
        <is>
          <t>P1-Must Have</t>
        </is>
      </c>
    </row>
    <row r="32" ht="38" customHeight="1">
      <c r="A32" s="151" t="n">
        <v>13</v>
      </c>
      <c r="B32" s="207" t="inlineStr">
        <is>
          <t>WF-63</t>
        </is>
      </c>
      <c r="C32" s="151" t="inlineStr">
        <is>
          <t>Security
Employee Data</t>
        </is>
      </c>
      <c r="D32" s="151" t="inlineStr">
        <is>
          <t>Dimension-level security — Account, CC, Job, Employee, Version</t>
        </is>
      </c>
      <c r="E32" s="151" t="inlineStr">
        <is>
          <t>Oracle Planning Security: Data Access Filters (DAFs) per dimension. Account DAF: role-based account hierarchy visibility. Cost Center DAF: user-to-CC mapping table. Job DAF: confid</t>
        </is>
      </c>
      <c r="F32" s="208" t="inlineStr">
        <is>
          <t>P1-Must Have</t>
        </is>
      </c>
    </row>
    <row r="33"/>
    <row r="34" ht="22" customHeight="1">
      <c r="A34" s="237" t="inlineStr">
        <is>
          <t xml:space="preserve">  ▶  S2  —  Apr 2025 — All integrations (Workday/Talent DP/PeopleFluent), data loads, baseline governance  [17 requirements]</t>
        </is>
      </c>
    </row>
    <row r="35" ht="16" customHeight="1">
      <c r="A35" s="106" t="inlineStr">
        <is>
          <t>#</t>
        </is>
      </c>
      <c r="B35" s="106" t="inlineStr">
        <is>
          <t>Req ID</t>
        </is>
      </c>
      <c r="C35" s="106" t="inlineStr">
        <is>
          <t>Category</t>
        </is>
      </c>
      <c r="D35" s="106" t="inlineStr">
        <is>
          <t>Short Description</t>
        </is>
      </c>
      <c r="E35" s="106" t="inlineStr">
        <is>
          <t>Oracle EPM Config (Summary)</t>
        </is>
      </c>
      <c r="F35" s="106" t="inlineStr">
        <is>
          <t>Priority</t>
        </is>
      </c>
    </row>
    <row r="36" ht="38" customHeight="1">
      <c r="A36" s="151" t="n">
        <v>1</v>
      </c>
      <c r="B36" s="209" t="inlineStr">
        <is>
          <t>WF-14</t>
        </is>
      </c>
      <c r="C36" s="151" t="inlineStr">
        <is>
          <t>Governance &amp; Controls
Baseline Data</t>
        </is>
      </c>
      <c r="D36" s="151" t="inlineStr">
        <is>
          <t>Traceability to data source</t>
        </is>
      </c>
      <c r="E36" s="151" t="inlineStr">
        <is>
          <t>Oracle Planning: Custom attribute 'Data_Source' on Account or separate dimension member. EPM Data Management: load jobs stamp source tag. CUST_DataSourceTag Groovy: marks manual ov</t>
        </is>
      </c>
      <c r="F36" s="208" t="inlineStr">
        <is>
          <t>P1-Must Have</t>
        </is>
      </c>
    </row>
    <row r="37" ht="38" customHeight="1">
      <c r="A37" s="149" t="n">
        <v>2</v>
      </c>
      <c r="B37" s="212" t="inlineStr">
        <is>
          <t>WF-88</t>
        </is>
      </c>
      <c r="C37" s="149" t="inlineStr">
        <is>
          <t>Governance &amp; Controls
Baseline Data</t>
        </is>
      </c>
      <c r="D37" s="149" t="inlineStr">
        <is>
          <t>Lock baseline — no auto-refresh once planning begins</t>
        </is>
      </c>
      <c r="E37" s="149" t="inlineStr">
        <is>
          <t xml:space="preserve">Oracle Planning: Version 'Baseline' set to locked status after Q-minus-1 snapshot. EPM Automate: load job checks version lock flag before writing. CUST_BaselineLock Business Rule: </t>
        </is>
      </c>
      <c r="F37" s="206" t="inlineStr">
        <is>
          <t>P1-Must Have</t>
        </is>
      </c>
    </row>
    <row r="38" ht="38" customHeight="1">
      <c r="A38" s="151" t="n">
        <v>3</v>
      </c>
      <c r="B38" s="209" t="inlineStr">
        <is>
          <t>WF-24</t>
        </is>
      </c>
      <c r="C38" s="151" t="inlineStr">
        <is>
          <t>Metadata / Dimensions
Position Structure</t>
        </is>
      </c>
      <c r="D38" s="151" t="inlineStr">
        <is>
          <t>Job and grade structures aligned with Workday</t>
        </is>
      </c>
      <c r="E38" s="151" t="inlineStr">
        <is>
          <t>Oracle Planning: Job_Code and Grade dimensions loaded from Workday Job Profile extract. EPM DM: HRIS_JobGrade_Load job — Workday Job Profile → Oracle Job_Code hierarchy. Nightly sy</t>
        </is>
      </c>
      <c r="F38" s="208" t="inlineStr">
        <is>
          <t>P1-Must Have</t>
        </is>
      </c>
    </row>
    <row r="39" ht="38" customHeight="1">
      <c r="A39" s="149" t="n">
        <v>4</v>
      </c>
      <c r="B39" s="212" t="inlineStr">
        <is>
          <t>WF-10</t>
        </is>
      </c>
      <c r="C39" s="149" t="inlineStr">
        <is>
          <t>Data
Actuals Data</t>
        </is>
      </c>
      <c r="D39" s="149" t="inlineStr">
        <is>
          <t>Workday as SOR for positions (via Talent Data Product)</t>
        </is>
      </c>
      <c r="E39" s="149" t="inlineStr">
        <is>
          <t>EPM Data Management: Talent_Data_Product_Load job — consumes monthly position snapshot from Talent Data Product. Workday → Talent Data Product (Data Fabric/SCD) → EPM. Job: HRIS_Po</t>
        </is>
      </c>
      <c r="F39" s="206" t="inlineStr">
        <is>
          <t>P1-Must Have</t>
        </is>
      </c>
    </row>
    <row r="40" ht="38" customHeight="1">
      <c r="A40" s="151" t="n">
        <v>5</v>
      </c>
      <c r="B40" s="209" t="inlineStr">
        <is>
          <t>WF-15</t>
        </is>
      </c>
      <c r="C40" s="151" t="inlineStr">
        <is>
          <t>Data
Actuals Data</t>
        </is>
      </c>
      <c r="D40" s="151" t="inlineStr">
        <is>
          <t>PeopleFluent ICP data via Talent Data Product</t>
        </is>
      </c>
      <c r="E40" s="151" t="inlineStr">
        <is>
          <t>EPM DM: PeopleFluent_ICP_Load — ICP assumptions (Target Bonus%, In-Year ICP%, Deferred%, RoR) from Talent Data Product. Load frequency: monthly. Mapping: PeopleFluent employee → Or</t>
        </is>
      </c>
      <c r="F40" s="208" t="inlineStr">
        <is>
          <t>P1-Must Have</t>
        </is>
      </c>
    </row>
    <row r="41" ht="38" customHeight="1">
      <c r="A41" s="149" t="n">
        <v>6</v>
      </c>
      <c r="B41" s="212" t="inlineStr">
        <is>
          <t>WF-17</t>
        </is>
      </c>
      <c r="C41" s="149" t="inlineStr">
        <is>
          <t>Data Integration
Actuals Data</t>
        </is>
      </c>
      <c r="D41" s="149" t="inlineStr">
        <is>
          <t>Automated file ingestion — reduced manual preprocessing</t>
        </is>
      </c>
      <c r="E41" s="149" t="inlineStr">
        <is>
          <t>EPM Automate: scheduled job triggers EPM Data Management batch. File format: standardized CSV/Parquet from Talent Data Product API. Pre-processing: Python Lambda validates schema b</t>
        </is>
      </c>
      <c r="F41" s="206" t="inlineStr">
        <is>
          <t>P1-Must Have</t>
        </is>
      </c>
    </row>
    <row r="42" ht="38" customHeight="1">
      <c r="A42" s="151" t="n">
        <v>7</v>
      </c>
      <c r="B42" s="209" t="inlineStr">
        <is>
          <t>WF-16</t>
        </is>
      </c>
      <c r="C42" s="151" t="inlineStr">
        <is>
          <t>Data Integration
Reports - Audit</t>
        </is>
      </c>
      <c r="D42" s="151" t="inlineStr">
        <is>
          <t>Validate source data + error report + re-trigger</t>
        </is>
      </c>
      <c r="E42" s="151" t="inlineStr">
        <is>
          <t xml:space="preserve">EPM DM: 'All-or-Nothing' load mode — if any record fails validation, entire load rolled back. Error Report: auto-generated HTML/CSV report with failed records, field-level errors, </t>
        </is>
      </c>
      <c r="F42" s="208" t="inlineStr">
        <is>
          <t>P1-Must Have</t>
        </is>
      </c>
    </row>
    <row r="43" ht="38" customHeight="1">
      <c r="A43" s="149" t="n">
        <v>8</v>
      </c>
      <c r="B43" s="212" t="inlineStr">
        <is>
          <t>WF-11</t>
        </is>
      </c>
      <c r="C43" s="149" t="inlineStr">
        <is>
          <t>Data Integration
Reports - Audit</t>
        </is>
      </c>
      <c r="D43" s="149" t="inlineStr">
        <is>
          <t>Detect invalid combinations — mark file load as failed</t>
        </is>
      </c>
      <c r="E43" s="149" t="inlineStr">
        <is>
          <t>EPM DM: Cross-reference validation rule — CC_Location_Matrix table. If CC not in Location's valid set → load flagged as failed. Error report: flags all invalid combos with record c</t>
        </is>
      </c>
      <c r="F43" s="206" t="inlineStr">
        <is>
          <t>P1-Must Have</t>
        </is>
      </c>
    </row>
    <row r="44" ht="38" customHeight="1">
      <c r="A44" s="151" t="n">
        <v>9</v>
      </c>
      <c r="B44" s="209" t="inlineStr">
        <is>
          <t>WF-12</t>
        </is>
      </c>
      <c r="C44" s="151" t="inlineStr">
        <is>
          <t>Data
Actuals Data</t>
        </is>
      </c>
      <c r="D44" s="151" t="inlineStr">
        <is>
          <t>More frequent workforce data refresh</t>
        </is>
      </c>
      <c r="E44" s="151" t="inlineStr">
        <is>
          <t>EPM Automate: on-demand load trigger available via REST API or manual EPM Automate command. Talent Data Product: supports delta extract (changed records only) for mid-cycle refresh</t>
        </is>
      </c>
      <c r="F44" s="219" t="inlineStr">
        <is>
          <t>P2-Should Have</t>
        </is>
      </c>
    </row>
    <row r="45" ht="38" customHeight="1">
      <c r="A45" s="149" t="n">
        <v>10</v>
      </c>
      <c r="B45" s="212" t="inlineStr">
        <is>
          <t>WF-65</t>
        </is>
      </c>
      <c r="C45" s="149" t="inlineStr">
        <is>
          <t>Data
Actuals Data</t>
        </is>
      </c>
      <c r="D45" s="149" t="inlineStr">
        <is>
          <t>Actual salary from Talent Data Product at position level</t>
        </is>
      </c>
      <c r="E45" s="149" t="inlineStr">
        <is>
          <t>EPM DM: Actual_Salary_Load — Position_ID, Actual_Annual_Salary from Talent Data Product. Average calc: CUST_AvgSalaryByMatrix computes Avg[Sub_Dept, Location, Role, Grade] and stor</t>
        </is>
      </c>
      <c r="F45" s="206" t="inlineStr">
        <is>
          <t>P1-Must Have</t>
        </is>
      </c>
    </row>
    <row r="46" ht="38" customHeight="1">
      <c r="A46" s="151" t="n">
        <v>11</v>
      </c>
      <c r="B46" s="209" t="inlineStr">
        <is>
          <t>WF-08</t>
        </is>
      </c>
      <c r="C46" s="151" t="inlineStr">
        <is>
          <t>Data
Historical Data</t>
        </is>
      </c>
      <c r="D46" s="151" t="inlineStr">
        <is>
          <t>5+ years historical actuals readily available</t>
        </is>
      </c>
      <c r="E46" s="151" t="inlineStr">
        <is>
          <t xml:space="preserve">Oracle Planning: Hot tier — FY22-FY25 actuals in active Planning cube (full calc access). Warm tier — FY20-FY21 in reporting-only cube (ASO). Cold tier — FY15-FY19 archived in EPM </t>
        </is>
      </c>
      <c r="F46" s="208" t="inlineStr">
        <is>
          <t>P1-Must Have</t>
        </is>
      </c>
    </row>
    <row r="47" ht="38" customHeight="1">
      <c r="A47" s="149" t="n">
        <v>12</v>
      </c>
      <c r="B47" s="212" t="inlineStr">
        <is>
          <t>WF-09</t>
        </is>
      </c>
      <c r="C47" s="149" t="inlineStr">
        <is>
          <t>Data
Historical Data</t>
        </is>
      </c>
      <c r="D47" s="149" t="inlineStr">
        <is>
          <t>5 years actuals + prior-year budget/forecast — no recalc</t>
        </is>
      </c>
      <c r="E47" s="149" t="inlineStr">
        <is>
          <t>Oracle Planning: Historical actuals stored in locked 'Actuals' scenario — no calc rules fire on locked periods. Prior-year Budget/Forecast retained in dedicated Year members (FY22_</t>
        </is>
      </c>
      <c r="F47" s="206" t="inlineStr">
        <is>
          <t>P1-Must Have</t>
        </is>
      </c>
    </row>
    <row r="48" ht="38" customHeight="1">
      <c r="A48" s="151" t="n">
        <v>13</v>
      </c>
      <c r="B48" s="209" t="inlineStr">
        <is>
          <t>WF-05</t>
        </is>
      </c>
      <c r="C48" s="151" t="inlineStr">
        <is>
          <t>Data
Hierarchy</t>
        </is>
      </c>
      <c r="D48" s="151" t="inlineStr">
        <is>
          <t>Historical data restatements to current hierarchy</t>
        </is>
      </c>
      <c r="E48" s="151" t="inlineStr">
        <is>
          <t xml:space="preserve">Oracle Planning: Restatement process — copy historical actuals to 'Restated' version with new hierarchy mapping. CUST_HistoricalRestatement: maps old CC → new CC per reorg mapping </t>
        </is>
      </c>
      <c r="F48" s="219" t="inlineStr">
        <is>
          <t>P2-Should Have</t>
        </is>
      </c>
    </row>
    <row r="49" ht="38" customHeight="1">
      <c r="A49" s="149" t="n">
        <v>14</v>
      </c>
      <c r="B49" s="212" t="inlineStr">
        <is>
          <t>WF-49</t>
        </is>
      </c>
      <c r="C49" s="149" t="inlineStr">
        <is>
          <t>Data
Baseline Data</t>
        </is>
      </c>
      <c r="D49" s="149" t="inlineStr">
        <is>
          <t>Latest forecast as baseline for annual planning</t>
        </is>
      </c>
      <c r="E49" s="149" t="inlineStr">
        <is>
          <t>Oracle Planning: CUST_BaselineRefresh — copies latest available Forecast version to 'Baseline' version. EPM Automate: scheduled job checks for new forecast availability and trigger</t>
        </is>
      </c>
      <c r="F49" s="206" t="inlineStr">
        <is>
          <t>P1-Must Have</t>
        </is>
      </c>
    </row>
    <row r="50" ht="38" customHeight="1">
      <c r="A50" s="151" t="n">
        <v>15</v>
      </c>
      <c r="B50" s="209" t="inlineStr">
        <is>
          <t>WF-66</t>
        </is>
      </c>
      <c r="C50" s="151" t="inlineStr">
        <is>
          <t>Business Logic / Calculations
Base Pay</t>
        </is>
      </c>
      <c r="D50" s="151" t="inlineStr">
        <is>
          <t>CALC: Midpoint salary from Talent Data Product</t>
        </is>
      </c>
      <c r="E50" s="151" t="inlineStr">
        <is>
          <t>EPM DM: Midpoint_Load job — source: Talent Data Product midpoint extract by Home_Location + Level. Target: Oracle Planning assumption table Midpoint[Home_Location, Level]. Refresh:</t>
        </is>
      </c>
      <c r="F50" s="208" t="inlineStr">
        <is>
          <t>P1-Must Have</t>
        </is>
      </c>
    </row>
    <row r="51" ht="38" customHeight="1">
      <c r="A51" s="149" t="n">
        <v>16</v>
      </c>
      <c r="B51" s="212" t="inlineStr">
        <is>
          <t>WF-67</t>
        </is>
      </c>
      <c r="C51" s="149" t="inlineStr">
        <is>
          <t>Business Logic / Calculations
ICP</t>
        </is>
      </c>
      <c r="D51" s="149" t="inlineStr">
        <is>
          <t>CALC: ICP drivers from PeopleFluent via Talent Data Product</t>
        </is>
      </c>
      <c r="E51" s="149" t="inlineStr">
        <is>
          <t>EPM DM: ICP_Assumptions_Load — source: PeopleFluent via Talent Data Product. Target table: ICP_Assumption_Form in Oracle Planning. Fields: ICP_Target_Pct[Position_ID], In_Year_ICP_</t>
        </is>
      </c>
      <c r="F51" s="206" t="inlineStr">
        <is>
          <t>P1-Must Have</t>
        </is>
      </c>
    </row>
    <row r="52" ht="38" customHeight="1">
      <c r="A52" s="151" t="n">
        <v>17</v>
      </c>
      <c r="B52" s="209" t="inlineStr">
        <is>
          <t>WF-ADV-04</t>
        </is>
      </c>
      <c r="C52" s="151" t="inlineStr">
        <is>
          <t>Metadata / Dimensions
Hierarchy Management</t>
        </is>
      </c>
      <c r="D52" s="151" t="inlineStr">
        <is>
          <t>Centrally managed hierarchies — aligned with all source systems</t>
        </is>
      </c>
      <c r="E52" s="151" t="inlineStr">
        <is>
          <t>EPM DM: Hierarchy_Sync_Load job — source: Oracle Financials CC Hierarchy via Data Fabric. Nightly delta load: adds new CCs, renames changed, marks deleted as inactive. Oracle Plann</t>
        </is>
      </c>
      <c r="F52" s="208" t="inlineStr">
        <is>
          <t>P1-Must Have</t>
        </is>
      </c>
    </row>
    <row r="53"/>
    <row r="54" ht="22" customHeight="1">
      <c r="A54" s="238" t="inlineStr">
        <is>
          <t xml:space="preserve">  ▶  S3  —  May 2025 — All compensation, ICP, VDIP, HC driver, FX, location-specific Groovy calc rules  [28 requirements]</t>
        </is>
      </c>
    </row>
    <row r="55" ht="16" customHeight="1">
      <c r="A55" s="106" t="inlineStr">
        <is>
          <t>#</t>
        </is>
      </c>
      <c r="B55" s="106" t="inlineStr">
        <is>
          <t>Req ID</t>
        </is>
      </c>
      <c r="C55" s="106" t="inlineStr">
        <is>
          <t>Category</t>
        </is>
      </c>
      <c r="D55" s="106" t="inlineStr">
        <is>
          <t>Short Description</t>
        </is>
      </c>
      <c r="E55" s="106" t="inlineStr">
        <is>
          <t>Oracle EPM Config (Summary)</t>
        </is>
      </c>
      <c r="F55" s="106" t="inlineStr">
        <is>
          <t>Priority</t>
        </is>
      </c>
    </row>
    <row r="56" ht="38" customHeight="1">
      <c r="A56" s="151" t="n">
        <v>1</v>
      </c>
      <c r="B56" s="211" t="inlineStr">
        <is>
          <t>WF-51</t>
        </is>
      </c>
      <c r="C56" s="151" t="inlineStr">
        <is>
          <t>Governance &amp; Controls
Baseline Data</t>
        </is>
      </c>
      <c r="D56" s="151" t="inlineStr">
        <is>
          <t>Traceable and explainable calculations</t>
        </is>
      </c>
      <c r="E56" s="151" t="inlineStr">
        <is>
          <t xml:space="preserve">Oracle Planning: Supporting Detail on all Groovy calc outputs. Calc Manager: Business Rule logic visible in Calc Manager console. Narrative Reporting: drill-through from summary → </t>
        </is>
      </c>
      <c r="F56" s="208" t="inlineStr">
        <is>
          <t>P1-Must Have</t>
        </is>
      </c>
    </row>
    <row r="57" ht="38" customHeight="1">
      <c r="A57" s="149" t="n">
        <v>2</v>
      </c>
      <c r="B57" s="228" t="inlineStr">
        <is>
          <t>WF-50</t>
        </is>
      </c>
      <c r="C57" s="149" t="inlineStr">
        <is>
          <t>Position-Based Planning
Edge Cases</t>
        </is>
      </c>
      <c r="D57" s="149" t="inlineStr">
        <is>
          <t>Double-occupancy prevention (shared position HC=1)</t>
        </is>
      </c>
      <c r="E57" s="149" t="inlineStr">
        <is>
          <t>Oracle Planning WFP: Position attribute 'Double_Occupancy_Flag'. CUST_DoubleOccupancyCheck Groovy: if Flag=Y, HC count capped at 1 for FTE metric; compensation calc sums both emplo</t>
        </is>
      </c>
      <c r="F57" s="206" t="inlineStr">
        <is>
          <t>P1-Must Have</t>
        </is>
      </c>
    </row>
    <row r="58" ht="38" customHeight="1">
      <c r="A58" s="151" t="n">
        <v>3</v>
      </c>
      <c r="B58" s="211" t="inlineStr">
        <is>
          <t>WF-34</t>
        </is>
      </c>
      <c r="C58" s="151" t="inlineStr">
        <is>
          <t>Metadata / Dimensions
Position Structure</t>
        </is>
      </c>
      <c r="D58" s="151" t="inlineStr">
        <is>
          <t>Contingent costs linked to positions (or position-less)</t>
        </is>
      </c>
      <c r="E58" s="151" t="inlineStr">
        <is>
          <t>Oracle Planning: Position attribute 'Contingent_Link' — FK to Position_ID if backfill. CUST_ContractorCost: if Contingent_Link = position, cost allocated to that position's cost ce</t>
        </is>
      </c>
      <c r="F58" s="219" t="inlineStr">
        <is>
          <t>P2-Should Have</t>
        </is>
      </c>
    </row>
    <row r="59" ht="38" customHeight="1">
      <c r="A59" s="149" t="n">
        <v>4</v>
      </c>
      <c r="B59" s="228" t="inlineStr">
        <is>
          <t>WF-42</t>
        </is>
      </c>
      <c r="C59" s="149" t="inlineStr">
        <is>
          <t>Scenarios
Drivers</t>
        </is>
      </c>
      <c r="D59" s="149" t="inlineStr">
        <is>
          <t>Vacancy as calculated output (not flat rate input)</t>
        </is>
      </c>
      <c r="E59" s="149" t="inlineStr">
        <is>
          <t>Oracle Planning: CUST_VacancyCalc — Vacancy = Approved_HC − Filled_HC per position per period. Driver-based: vacancy driven by turnover events + hiring pipeline (not input). Vacanc</t>
        </is>
      </c>
      <c r="F59" s="206" t="inlineStr">
        <is>
          <t>P1-Must Have</t>
        </is>
      </c>
    </row>
    <row r="60" ht="38" customHeight="1">
      <c r="A60" s="151" t="n">
        <v>5</v>
      </c>
      <c r="B60" s="211" t="inlineStr">
        <is>
          <t>WF-43</t>
        </is>
      </c>
      <c r="C60" s="151" t="inlineStr">
        <is>
          <t>Scenarios
Calculations</t>
        </is>
      </c>
      <c r="D60" s="151" t="inlineStr">
        <is>
          <t>Decomposed vacancy model — vacancy months + cost impact</t>
        </is>
      </c>
      <c r="E60" s="151" t="inlineStr">
        <is>
          <t>Oracle Planning: CUST_VacancyDecomposed — Vacancy_Months = sum(days_vacant / days_in_period) per position. Vacancy_Cost = Avg_Monthly_Salary × Vacancy_Months. Components: Turnover_</t>
        </is>
      </c>
      <c r="F60" s="208" t="inlineStr">
        <is>
          <t>P1-Must Have</t>
        </is>
      </c>
    </row>
    <row r="61" ht="38" customHeight="1">
      <c r="A61" s="149" t="n">
        <v>6</v>
      </c>
      <c r="B61" s="228" t="inlineStr">
        <is>
          <t>WF-44</t>
        </is>
      </c>
      <c r="C61" s="149" t="inlineStr">
        <is>
          <t>Scenarios
Drivers</t>
        </is>
      </c>
      <c r="D61" s="149" t="inlineStr">
        <is>
          <t>Turnover rate applied to filled positions only</t>
        </is>
      </c>
      <c r="E61" s="149" t="inlineStr">
        <is>
          <t>Oracle Planning: CUST_TurnoverCalc — filter: IF Position_Status = 'Filled' THEN apply Turnover_Rate ELSE 0. Driver table: Turnover_Rate[Dept, Worker_Type, Year]. Turnover event: cr</t>
        </is>
      </c>
      <c r="F61" s="206" t="inlineStr">
        <is>
          <t>P1-Must Have</t>
        </is>
      </c>
    </row>
    <row r="62" ht="38" customHeight="1">
      <c r="A62" s="151" t="n">
        <v>7</v>
      </c>
      <c r="B62" s="211" t="inlineStr">
        <is>
          <t>WF-47</t>
        </is>
      </c>
      <c r="C62" s="151" t="inlineStr">
        <is>
          <t>Scenarios
Edge Cases</t>
        </is>
      </c>
      <c r="D62" s="151" t="inlineStr">
        <is>
          <t>Contingent workforce costs — distinct category</t>
        </is>
      </c>
      <c r="E62" s="151" t="inlineStr">
        <is>
          <t>Oracle Planning: Account hierarchy — 'Personnel_Contingent' sub-hierarchy. Worker_Type dimension: Contingent_Vendor, Contingent_Backfill. CUST_ContractorCost: Bill_Rate × Hours × U</t>
        </is>
      </c>
      <c r="F62" s="219" t="inlineStr">
        <is>
          <t>P2-Should Have</t>
        </is>
      </c>
    </row>
    <row r="63" ht="38" customHeight="1">
      <c r="A63" s="149" t="n">
        <v>8</v>
      </c>
      <c r="B63" s="228" t="inlineStr">
        <is>
          <t>WF-48</t>
        </is>
      </c>
      <c r="C63" s="149" t="inlineStr">
        <is>
          <t>Scenarios
Edge Cases</t>
        </is>
      </c>
      <c r="D63" s="149" t="inlineStr">
        <is>
          <t>Time-bound contingent planning (start/end dates)</t>
        </is>
      </c>
      <c r="E63" s="149" t="inlineStr">
        <is>
          <t>Oracle Planning: Position attribute Start_Date, End_Date for contingent roles. CUST_ContingentTimeBound: zeroes cost outside start/end range. Period spread: only active months incl</t>
        </is>
      </c>
      <c r="F63" s="218" t="inlineStr">
        <is>
          <t>P2-Should Have</t>
        </is>
      </c>
    </row>
    <row r="64" ht="38" customHeight="1">
      <c r="A64" s="151" t="n">
        <v>9</v>
      </c>
      <c r="B64" s="211" t="inlineStr">
        <is>
          <t>WF-68</t>
        </is>
      </c>
      <c r="C64" s="151" t="inlineStr">
        <is>
          <t>Business Logic / Calculations
Base Pay</t>
        </is>
      </c>
      <c r="D64" s="151" t="inlineStr">
        <is>
          <t>CALC: Avg Monthly Salary — Approved Filled Positions</t>
        </is>
      </c>
      <c r="E64" s="151" t="inlineStr">
        <is>
          <t>CUST_AvgMonthlySalary_Filled Groovy: Avg_Monthly_Salary = AVG(Annual_Salary[Sub_Dept, Location, Role, Worker_Type]) / 12 for positions where Status = Filled. Sources: Actual_Salary</t>
        </is>
      </c>
      <c r="F64" s="208" t="inlineStr">
        <is>
          <t>P1-Must Have</t>
        </is>
      </c>
    </row>
    <row r="65" ht="38" customHeight="1">
      <c r="A65" s="149" t="n">
        <v>10</v>
      </c>
      <c r="B65" s="228" t="inlineStr">
        <is>
          <t>WF-69</t>
        </is>
      </c>
      <c r="C65" s="149" t="inlineStr">
        <is>
          <t>Business Logic / Calculations
Base Pay</t>
        </is>
      </c>
      <c r="D65" s="149" t="inlineStr">
        <is>
          <t>CALC: Avg Monthly Salary — New Pending Positions (midpoint fallback)</t>
        </is>
      </c>
      <c r="E65" s="149" t="inlineStr">
        <is>
          <t xml:space="preserve">CUST_AvgMonthlySalary_Pending Groovy: IF AMS_Matrix[Sub_Dept, Location, Role, Worker_Type] exists THEN use average ELSE use Midpoint[Home_Location, Level] from Talent Data Product </t>
        </is>
      </c>
      <c r="F65" s="206" t="inlineStr">
        <is>
          <t>P1-Must Have</t>
        </is>
      </c>
    </row>
    <row r="66" ht="38" customHeight="1">
      <c r="A66" s="151" t="n">
        <v>11</v>
      </c>
      <c r="B66" s="211" t="inlineStr">
        <is>
          <t>WF-70</t>
        </is>
      </c>
      <c r="C66" s="151" t="inlineStr">
        <is>
          <t>Business Logic / Calculations
Merit Pay</t>
        </is>
      </c>
      <c r="D66" s="151" t="inlineStr">
        <is>
          <t>CALC: Merit increase from merit month with effective date</t>
        </is>
      </c>
      <c r="E66" s="151" t="inlineStr">
        <is>
          <t xml:space="preserve">CUST_MeritCalc Groovy: Merit_Cost_Monthly = Avg_Monthly_Salary × Merit_Pct[Grade, Year] for months &gt;= Merit_Month. Pre-merit months: no merit increment. Merit_Month configured per </t>
        </is>
      </c>
      <c r="F66" s="208" t="inlineStr">
        <is>
          <t>P1-Must Have</t>
        </is>
      </c>
    </row>
    <row r="67" ht="38" customHeight="1">
      <c r="A67" s="149" t="n">
        <v>12</v>
      </c>
      <c r="B67" s="228" t="inlineStr">
        <is>
          <t>WF-71</t>
        </is>
      </c>
      <c r="C67" s="149" t="inlineStr">
        <is>
          <t>Business Logic / Calculations
Merit Pay</t>
        </is>
      </c>
      <c r="D67" s="149" t="inlineStr">
        <is>
          <t>CALC: Merit exclusion — newly promoted positions</t>
        </is>
      </c>
      <c r="E67" s="149" t="inlineStr">
        <is>
          <t>CUST_MeritExclusion Groovy: IF Promotion_Flag = Y AND Promotion_Year = Current_Year THEN Merit_Pct = 0. Promotion flag set by CUST_PromotionCalc. Logic: newly promoted employees re</t>
        </is>
      </c>
      <c r="F67" s="206" t="inlineStr">
        <is>
          <t>P1-Must Have</t>
        </is>
      </c>
    </row>
    <row r="68" ht="38" customHeight="1">
      <c r="A68" s="151" t="n">
        <v>13</v>
      </c>
      <c r="B68" s="211" t="inlineStr">
        <is>
          <t>WF-83</t>
        </is>
      </c>
      <c r="C68" s="151" t="inlineStr">
        <is>
          <t>Business Logic / Calculations
Merit Pay</t>
        </is>
      </c>
      <c r="D68" s="151" t="inlineStr">
        <is>
          <t>CALC: Merit eligibility — exclude Interns and Contingent</t>
        </is>
      </c>
      <c r="E68" s="151" t="inlineStr">
        <is>
          <t>CUST_MeritEligibility Groovy: Merit_Pct = 0 IF Worker_Type IN ('Intern', 'Contingent_Vendor', 'Contingent_Backfill'). Eligibility table: Merit_Eligible_Flag[Worker_Type] — Regular_</t>
        </is>
      </c>
      <c r="F68" s="208" t="inlineStr">
        <is>
          <t>P1-Must Have</t>
        </is>
      </c>
    </row>
    <row r="69" ht="38" customHeight="1">
      <c r="A69" s="149" t="n">
        <v>14</v>
      </c>
      <c r="B69" s="228" t="inlineStr">
        <is>
          <t>WF-72</t>
        </is>
      </c>
      <c r="C69" s="149" t="inlineStr">
        <is>
          <t>Business Logic / Calculations
Benefits</t>
        </is>
      </c>
      <c r="D69" s="149" t="inlineStr">
        <is>
          <t>CALC: Salary benefits — (Salary + Merit) × Blended Benefits%</t>
        </is>
      </c>
      <c r="E69" s="149" t="inlineStr">
        <is>
          <t>CUST_BenefitsCalc Groovy: Benefits_Cost = (Avg_Monthly_Salary + Merit_Cost_Monthly) × Blended_Benefit_Rate[Worker_Type, Location]. Benefit_Rate table: FT_CAD=28%, PT_CAD=15%, HK=22</t>
        </is>
      </c>
      <c r="F69" s="206" t="inlineStr">
        <is>
          <t>P1-Must Have</t>
        </is>
      </c>
    </row>
    <row r="70" ht="38" customHeight="1">
      <c r="A70" s="151" t="n">
        <v>15</v>
      </c>
      <c r="B70" s="211" t="inlineStr">
        <is>
          <t>WF-81</t>
        </is>
      </c>
      <c r="C70" s="151" t="inlineStr">
        <is>
          <t>Business Logic / Calculations
Promotions</t>
        </is>
      </c>
      <c r="D70" s="151" t="inlineStr">
        <is>
          <t>CALC: Promotion salary impact — Average Monthly Salary × Promotion%</t>
        </is>
      </c>
      <c r="E70" s="151" t="inlineStr">
        <is>
          <t>CUST_PromotionCalc Groovy: Promotion_Cost = Avg_Monthly_Salary × Promotion_Rate[Dept, Grade]. Stored to dedicated 'Promotion_Increment' account (separate from Base_Salary). Promoti</t>
        </is>
      </c>
      <c r="F70" s="208" t="inlineStr">
        <is>
          <t>P1-Must Have</t>
        </is>
      </c>
    </row>
    <row r="71" ht="38" customHeight="1">
      <c r="A71" s="149" t="n">
        <v>16</v>
      </c>
      <c r="B71" s="228" t="inlineStr">
        <is>
          <t>WF-85</t>
        </is>
      </c>
      <c r="C71" s="149" t="inlineStr">
        <is>
          <t>Business Logic / Calculations
Base Pay</t>
        </is>
      </c>
      <c r="D71" s="149" t="inlineStr">
        <is>
          <t>CALC: Salary roll-forward — last month AMS → next year base</t>
        </is>
      </c>
      <c r="E71" s="149" t="inlineStr">
        <is>
          <t>CUST_SalaryRollForward Groovy: Next_Year_Base_Salary = AMS_Month_12 (last month of current FY including merit). Runs: post-Final version lock, pre-new-year planning open. Stores: t</t>
        </is>
      </c>
      <c r="F71" s="206" t="inlineStr">
        <is>
          <t>P1-Must Have</t>
        </is>
      </c>
    </row>
    <row r="72" ht="38" customHeight="1">
      <c r="A72" s="151" t="n">
        <v>17</v>
      </c>
      <c r="B72" s="211" t="inlineStr">
        <is>
          <t>WF-74</t>
        </is>
      </c>
      <c r="C72" s="151" t="inlineStr">
        <is>
          <t>Business Logic / Calculations
ICP</t>
        </is>
      </c>
      <c r="D72" s="151" t="inlineStr">
        <is>
          <t>CALC: ICP In-Year Gross Amount</t>
        </is>
      </c>
      <c r="E72" s="151" t="inlineStr">
        <is>
          <t xml:space="preserve">CUST_ICPInYear Groovy: ICP_InYear_Gross = Annual_Salary × ICP_Target_Pct × Total_Fund_Multiplier × Individual_Multiplier. Drivers sourced from PeopleFluent via Talent Data Product </t>
        </is>
      </c>
      <c r="F72" s="208" t="inlineStr">
        <is>
          <t>P1-Must Have</t>
        </is>
      </c>
    </row>
    <row r="73" ht="38" customHeight="1">
      <c r="A73" s="149" t="n">
        <v>18</v>
      </c>
      <c r="B73" s="228" t="inlineStr">
        <is>
          <t>WF-75</t>
        </is>
      </c>
      <c r="C73" s="149" t="inlineStr">
        <is>
          <t>Business Logic / Calculations
ICP</t>
        </is>
      </c>
      <c r="D73" s="149" t="inlineStr">
        <is>
          <t>CALC: ICP In-Year Merit and associated benefits on merit-adjusted salary</t>
        </is>
      </c>
      <c r="E73" s="149" t="inlineStr">
        <is>
          <t xml:space="preserve">CUST_ICPMeritBenefits Groovy: ICP_Merit_Component = (Salary + Merit_Cost) × ICP_Pct × Multiplier. Benefits on ICP: ICP_Benefits = ICP_InYear_Gross × Benefit_Rate_ICP[Worker_Type]. </t>
        </is>
      </c>
      <c r="F73" s="206" t="inlineStr">
        <is>
          <t>P1-Must Have</t>
        </is>
      </c>
    </row>
    <row r="74" ht="38" customHeight="1">
      <c r="A74" s="151" t="n">
        <v>19</v>
      </c>
      <c r="B74" s="211" t="inlineStr">
        <is>
          <t>WF-76</t>
        </is>
      </c>
      <c r="C74" s="151" t="inlineStr">
        <is>
          <t>Business Logic / Calculations
ICP</t>
        </is>
      </c>
      <c r="D74" s="151" t="inlineStr">
        <is>
          <t>CALC: Deferred ICP — current and prior years with compounding RoR</t>
        </is>
      </c>
      <c r="E74" s="151" t="inlineStr">
        <is>
          <t>CUST_ICPDeferred Groovy: Deferred_ICP_CY = ICP_InYear_Gross × Deferred_Pct. Deferred_ICP_PY_Compound = Deferred_ICP_PY × (1 + RoR_Factor). Total_Deferred = Deferred_ICP_CY + Deferr</t>
        </is>
      </c>
      <c r="F74" s="208" t="inlineStr">
        <is>
          <t>P1-Must Have</t>
        </is>
      </c>
    </row>
    <row r="75" ht="38" customHeight="1">
      <c r="A75" s="149" t="n">
        <v>20</v>
      </c>
      <c r="B75" s="228" t="inlineStr">
        <is>
          <t>WF-77</t>
        </is>
      </c>
      <c r="C75" s="149" t="inlineStr">
        <is>
          <t>Business Logic / Calculations
VDIP</t>
        </is>
      </c>
      <c r="D75" s="149" t="inlineStr">
        <is>
          <t>CALC: Fund VDIP and PI VDIP — compounding to payout year</t>
        </is>
      </c>
      <c r="E75" s="149" t="inlineStr">
        <is>
          <t>CUST_VDIPCalc Groovy: Fund_VDIP_InYear = ICP_InYear_Gross × VDIP_Pct. PI_VDIP_InYear = ICP_InYear_Gross × PI_VDIP_Pct. Compounding: VDIP_Balance_t = VDIP_Balance_(t-1) × (1 + Fund_</t>
        </is>
      </c>
      <c r="F75" s="218" t="inlineStr">
        <is>
          <t>P2-Should Have</t>
        </is>
      </c>
    </row>
    <row r="76" ht="38" customHeight="1">
      <c r="A76" s="151" t="n">
        <v>21</v>
      </c>
      <c r="B76" s="211" t="inlineStr">
        <is>
          <t>WF-73</t>
        </is>
      </c>
      <c r="C76" s="151" t="inlineStr">
        <is>
          <t>Business Logic / Calculations
HK and BRL</t>
        </is>
      </c>
      <c r="D76" s="151" t="inlineStr">
        <is>
          <t>CALC: Location-specific components — HK Housing + BRL statutory</t>
        </is>
      </c>
      <c r="E76" s="151" t="inlineStr">
        <is>
          <t>CUST_HKHousingAllowance Groovy: IF Location = HK AND Worker_Type = Regular_FTE AND Position_Status != New_Hire THEN Housing_Allow = Fixed_HK_Rate. Excludes new hires and open posit</t>
        </is>
      </c>
      <c r="F76" s="219" t="inlineStr">
        <is>
          <t>P2-Should Have</t>
        </is>
      </c>
    </row>
    <row r="77" ht="38" customHeight="1">
      <c r="A77" s="149" t="n">
        <v>22</v>
      </c>
      <c r="B77" s="228" t="inlineStr">
        <is>
          <t>WF-78</t>
        </is>
      </c>
      <c r="C77" s="149" t="inlineStr">
        <is>
          <t>Business Logic / Calculations
HK and BRL</t>
        </is>
      </c>
      <c r="D77" s="149" t="inlineStr">
        <is>
          <t>CALC: BRL statutory ICP — 13th month, deferred, vacation bonus</t>
        </is>
      </c>
      <c r="E77" s="149" t="inlineStr">
        <is>
          <t>CUST_BRLStatutoryICP Groovy: BRL_ICP_13th = ICP_InYear_Gross / 12. BRL_ICP_Deferred_Vacation = Deferred_ICP_CY × (1/3). Total_BRL_ICP_Statutory = BRL_ICP_13th + BRL_ICP_Deferred_Va</t>
        </is>
      </c>
      <c r="F77" s="218" t="inlineStr">
        <is>
          <t>P2-Should Have</t>
        </is>
      </c>
    </row>
    <row r="78" ht="38" customHeight="1">
      <c r="A78" s="151" t="n">
        <v>23</v>
      </c>
      <c r="B78" s="211" t="inlineStr">
        <is>
          <t>WF-79</t>
        </is>
      </c>
      <c r="C78" s="151" t="inlineStr">
        <is>
          <t>Business Logic / Calculations
FX</t>
        </is>
      </c>
      <c r="D78" s="151" t="inlineStr">
        <is>
          <t>CALC: FX translation — Local Currency to CAD (annual average rate)</t>
        </is>
      </c>
      <c r="E78" s="151" t="inlineStr">
        <is>
          <t>CUST_FXTranslation Groovy: CAD_Amount = Local_Amount × FX_Rate[Currency, FY, Rate_Type='Annual_Avg']. Rate table: FX_Rates[Currency, Year] loaded from EPM DM (FX data feed or manua</t>
        </is>
      </c>
      <c r="F78" s="208" t="inlineStr">
        <is>
          <t>P1-Must Have</t>
        </is>
      </c>
    </row>
    <row r="79" ht="38" customHeight="1">
      <c r="A79" s="149" t="n">
        <v>24</v>
      </c>
      <c r="B79" s="228" t="inlineStr">
        <is>
          <t>WF-90</t>
        </is>
      </c>
      <c r="C79" s="149" t="inlineStr">
        <is>
          <t>Business Logic / Calculations
International Assignments</t>
        </is>
      </c>
      <c r="D79" s="149" t="inlineStr">
        <is>
          <t>CALC: International assignment — legal entity FX and cost treatment</t>
        </is>
      </c>
      <c r="E79" s="149" t="inlineStr">
        <is>
          <t>CUST_IntlAssignmentCalc Groovy: reads Legal_Entity attribute on position. IF Position has Intl_Assignment_Flag AND Home_Entity ≠ Host_Entity: cost split per assignment agreement (h</t>
        </is>
      </c>
      <c r="F79" s="218" t="inlineStr">
        <is>
          <t>P2-Should Have</t>
        </is>
      </c>
    </row>
    <row r="80" ht="38" customHeight="1">
      <c r="A80" s="151" t="n">
        <v>25</v>
      </c>
      <c r="B80" s="211" t="inlineStr">
        <is>
          <t>WF-91</t>
        </is>
      </c>
      <c r="C80" s="151" t="inlineStr">
        <is>
          <t>Business Logic / Calculations
Mumbai</t>
        </is>
      </c>
      <c r="D80" s="151" t="inlineStr">
        <is>
          <t>CALC: Mumbai cost categorization — salary/benefits reconciliation</t>
        </is>
      </c>
      <c r="E80" s="151" t="inlineStr">
        <is>
          <t>CUST_MumbaiCostMapping Groovy: IF Location = Mumbai THEN apply Mumbai_Cost_Category_Mapping table — maps statutory salary + benefits components to correct Oracle account. Mumbai-sp</t>
        </is>
      </c>
      <c r="F80" s="219" t="inlineStr">
        <is>
          <t>P2-Should Have</t>
        </is>
      </c>
    </row>
    <row r="81" ht="38" customHeight="1">
      <c r="A81" s="149" t="n">
        <v>26</v>
      </c>
      <c r="B81" s="228" t="inlineStr">
        <is>
          <t>WF-89</t>
        </is>
      </c>
      <c r="C81" s="149" t="inlineStr">
        <is>
          <t>Business Logic / Calculations
Base Pay</t>
        </is>
      </c>
      <c r="D81" s="149" t="inlineStr">
        <is>
          <t>CALC: Partial month — expected hire date for open roles</t>
        </is>
      </c>
      <c r="E81" s="149" t="inlineStr">
        <is>
          <t>CUST_PartialMonthCalc Groovy: IF Position_Status = Open AND Expected_Hire_Date is set THEN Monthly_Cost = Full_Monthly_Cost × (Days_Remaining_in_Month / Days_in_Month) for hire mon</t>
        </is>
      </c>
      <c r="F81" s="206" t="inlineStr">
        <is>
          <t>P1-Must Have</t>
        </is>
      </c>
    </row>
    <row r="82" ht="38" customHeight="1">
      <c r="A82" s="151" t="n">
        <v>27</v>
      </c>
      <c r="B82" s="211" t="inlineStr">
        <is>
          <t>WF-43+</t>
        </is>
      </c>
      <c r="C82" s="151" t="inlineStr">
        <is>
          <t xml:space="preserve"> Business Logic / Calculations
Vacancy</t>
        </is>
      </c>
      <c r="D82" s="151" t="inlineStr">
        <is>
          <t>CALC: Vacancy decomposed — turnover + pipeline + time-to-fill</t>
        </is>
      </c>
      <c r="E82" s="151" t="inlineStr">
        <is>
          <t>CUST_VacancyDecomposed Groovy: Turnover_Vacancy_Months = Σ(days_vacant_post_departure / period_days). Pipeline_Vacancy_Months = Σ(days_unfilled_approved_open / period_days). Total_</t>
        </is>
      </c>
      <c r="F82" s="208" t="inlineStr">
        <is>
          <t>P1-Must Have</t>
        </is>
      </c>
    </row>
    <row r="83" ht="38" customHeight="1">
      <c r="A83" s="149" t="n">
        <v>28</v>
      </c>
      <c r="B83" s="228" t="inlineStr">
        <is>
          <t>WF-ADV-01</t>
        </is>
      </c>
      <c r="C83" s="149" t="inlineStr">
        <is>
          <t>Business Logic / Calculations
ICP Sensitivity</t>
        </is>
      </c>
      <c r="D83" s="149" t="inlineStr">
        <is>
          <t>ICP actuals calc with sensitivity analysis (RoR impact)</t>
        </is>
      </c>
      <c r="E83" s="149" t="inlineStr">
        <is>
          <t>CUST_ICPSensitivity Groovy: creates What-If ICP scenario with RoR +/-Δ%. Sensitivity range: ±5%, ±10%, ±15% on Total_Fund_RoR and PI_RoR. Output: ICP_Sensitivity_Table[RoR_Δ, ICP_I</t>
        </is>
      </c>
      <c r="F83" s="218" t="inlineStr">
        <is>
          <t>P2-Should Have</t>
        </is>
      </c>
    </row>
    <row r="84"/>
    <row r="85" ht="22" customHeight="1">
      <c r="A85" s="239" t="inlineStr">
        <is>
          <t xml:space="preserve">  ▶  S4  —  Jun 2025 — Advanced scenarios, reporting, BOR, forms, dashboards, NR, SIT readiness  [31 requirements]</t>
        </is>
      </c>
    </row>
    <row r="86" ht="16" customHeight="1">
      <c r="A86" s="106" t="inlineStr">
        <is>
          <t>#</t>
        </is>
      </c>
      <c r="B86" s="106" t="inlineStr">
        <is>
          <t>Req ID</t>
        </is>
      </c>
      <c r="C86" s="106" t="inlineStr">
        <is>
          <t>Category</t>
        </is>
      </c>
      <c r="D86" s="106" t="inlineStr">
        <is>
          <t>Short Description</t>
        </is>
      </c>
      <c r="E86" s="106" t="inlineStr">
        <is>
          <t>Oracle EPM Config (Summary)</t>
        </is>
      </c>
      <c r="F86" s="106" t="inlineStr">
        <is>
          <t>Priority</t>
        </is>
      </c>
    </row>
    <row r="87" ht="38" customHeight="1">
      <c r="A87" s="151" t="n">
        <v>1</v>
      </c>
      <c r="B87" s="217" t="inlineStr">
        <is>
          <t>WF-31</t>
        </is>
      </c>
      <c r="C87" s="151" t="inlineStr">
        <is>
          <t>Position-Based Planning
Planning Functionality</t>
        </is>
      </c>
      <c r="D87" s="151" t="inlineStr">
        <is>
          <t>Open new / inactivate existing positions (attrition)</t>
        </is>
      </c>
      <c r="E87" s="151" t="inlineStr">
        <is>
          <t>Oracle Planning WFP: Position Status → Closed_Attrition. CUST_PositionAttrition Groovy: zeroes comp from effective close month; retains position member in hierarchy for history. Fo</t>
        </is>
      </c>
      <c r="F87" s="208" t="inlineStr">
        <is>
          <t>P1-Must Have</t>
        </is>
      </c>
    </row>
    <row r="88" ht="38" customHeight="1">
      <c r="A88" s="149" t="n">
        <v>2</v>
      </c>
      <c r="B88" s="216" t="inlineStr">
        <is>
          <t>WF-37</t>
        </is>
      </c>
      <c r="C88" s="149" t="inlineStr">
        <is>
          <t>Position-Based Planning
Scenarios</t>
        </is>
      </c>
      <c r="D88" s="149" t="inlineStr">
        <is>
          <t>Pipeline / proposed positions during budgeting</t>
        </is>
      </c>
      <c r="E88" s="149" t="inlineStr">
        <is>
          <t xml:space="preserve">Oracle Planning WFP: Position Status = Pipeline. CUST_PipelinePosition: calculates partial-year cost from proposed hire date. Integration: nightly match job — when Workday creates </t>
        </is>
      </c>
      <c r="F88" s="206" t="inlineStr">
        <is>
          <t>P1-Must Have</t>
        </is>
      </c>
    </row>
    <row r="89" ht="38" customHeight="1">
      <c r="A89" s="151" t="n">
        <v>3</v>
      </c>
      <c r="B89" s="217" t="inlineStr">
        <is>
          <t>WF-52</t>
        </is>
      </c>
      <c r="C89" s="151" t="inlineStr">
        <is>
          <t>Position-Based Planning
Planning Functionality</t>
        </is>
      </c>
      <c r="D89" s="151" t="inlineStr">
        <is>
          <t>Committed vs uncommitted (open) position costs</t>
        </is>
      </c>
      <c r="E89" s="151" t="inlineStr">
        <is>
          <t>Oracle Planning: Custom account members — 'Committed_Cost' (filled positions) vs 'Uncommitted_Cost' (approved open positions). CUST_CommittedFlag Groovy: routes cost to committed/u</t>
        </is>
      </c>
      <c r="F89" s="219" t="inlineStr">
        <is>
          <t>P2-Should Have</t>
        </is>
      </c>
    </row>
    <row r="90" ht="38" customHeight="1">
      <c r="A90" s="149" t="n">
        <v>4</v>
      </c>
      <c r="B90" s="216" t="inlineStr">
        <is>
          <t>WF-64</t>
        </is>
      </c>
      <c r="C90" s="149" t="inlineStr">
        <is>
          <t>Position-Based Planning
Security</t>
        </is>
      </c>
      <c r="D90" s="149" t="inlineStr">
        <is>
          <t>Drill from filled position to employee</t>
        </is>
      </c>
      <c r="E90" s="149" t="inlineStr">
        <is>
          <t>Oracle Planning WFP: Position_Employee_Link dimension attribute. Forms: Smart View drill-through from Position_ID → Employee_ID detail. Security: Job Role 'HR_Admin' and 'Finance_A</t>
        </is>
      </c>
      <c r="F90" s="206" t="inlineStr">
        <is>
          <t>P1-Must Have</t>
        </is>
      </c>
    </row>
    <row r="91" ht="38" customHeight="1">
      <c r="A91" s="151" t="n">
        <v>5</v>
      </c>
      <c r="B91" s="217" t="inlineStr">
        <is>
          <t>WF-92</t>
        </is>
      </c>
      <c r="C91" s="151" t="inlineStr">
        <is>
          <t>Position-Based Planning
Edge Cases</t>
        </is>
      </c>
      <c r="D91" s="151" t="inlineStr">
        <is>
          <t>Retirement planning — reserve cost + reallocate dollars</t>
        </is>
      </c>
      <c r="E91" s="151" t="inlineStr">
        <is>
          <t>Oracle Planning WFP: Retirement_Flag on position. CUST_RetirementCalc: full-year cost reserved until effective retirement date then zeroed. CUST_VDIPDeferral: moves deferred ICP to</t>
        </is>
      </c>
      <c r="F91" s="219" t="inlineStr">
        <is>
          <t>P2-Should Have</t>
        </is>
      </c>
    </row>
    <row r="92" ht="38" customHeight="1">
      <c r="A92" s="149" t="n">
        <v>6</v>
      </c>
      <c r="B92" s="216" t="inlineStr">
        <is>
          <t>WF-35</t>
        </is>
      </c>
      <c r="C92" s="149" t="inlineStr">
        <is>
          <t>Metadata / Dimensions
Commentary</t>
        </is>
      </c>
      <c r="D92" s="149" t="inlineStr">
        <is>
          <t>Commentary at planning steps — stored in Oracle</t>
        </is>
      </c>
      <c r="E92" s="149" t="inlineStr">
        <is>
          <t>Oracle Planning: Cell Text / Supporting Detail on all planning forms. Narrative Reporting: NR report includes commentary column pulled from Planning cell text. EPM Data Management:</t>
        </is>
      </c>
      <c r="F92" s="206" t="inlineStr">
        <is>
          <t>P1-Must Have</t>
        </is>
      </c>
    </row>
    <row r="93" ht="38" customHeight="1">
      <c r="A93" s="151" t="n">
        <v>7</v>
      </c>
      <c r="B93" s="217" t="inlineStr">
        <is>
          <t>WF-36</t>
        </is>
      </c>
      <c r="C93" s="151" t="inlineStr">
        <is>
          <t>Metadata / Dimensions
Commentary</t>
        </is>
      </c>
      <c r="D93" s="151" t="inlineStr">
        <is>
          <t>Standardized commentary categories + file attachments</t>
        </is>
      </c>
      <c r="E93" s="151" t="inlineStr">
        <is>
          <t>Oracle Planning: Custom list: Commentary_Category UDA on cell text (FX / Rates / Attrition / Vacancy / Realization / Other). File attachment: Oracle Planning Document Library linke</t>
        </is>
      </c>
      <c r="F93" s="208" t="inlineStr">
        <is>
          <t>P1-Must Have</t>
        </is>
      </c>
    </row>
    <row r="94" ht="38" customHeight="1">
      <c r="A94" s="149" t="n">
        <v>8</v>
      </c>
      <c r="B94" s="216" t="inlineStr">
        <is>
          <t>WF-95</t>
        </is>
      </c>
      <c r="C94" s="149" t="inlineStr">
        <is>
          <t>Data Integration
General Functionality</t>
        </is>
      </c>
      <c r="D94" s="149" t="inlineStr">
        <is>
          <t>Push from calc module (WFP) to reporting module</t>
        </is>
      </c>
      <c r="E94" s="149" t="inlineStr">
        <is>
          <t>Oracle Planning: EPM Automate job 'Push_WFP_to_REP' — copies approved WFP version data to Reporting cube. User-triggered: form button 'Submit to Reporting' — fires EPM Automate wit</t>
        </is>
      </c>
      <c r="F94" s="206" t="inlineStr">
        <is>
          <t>P1-Must Have</t>
        </is>
      </c>
    </row>
    <row r="95" ht="38" customHeight="1">
      <c r="A95" s="151" t="n">
        <v>9</v>
      </c>
      <c r="B95" s="217" t="inlineStr">
        <is>
          <t>WF-07</t>
        </is>
      </c>
      <c r="C95" s="151" t="inlineStr">
        <is>
          <t>Scenarios
Planning Functionality</t>
        </is>
      </c>
      <c r="D95" s="151" t="inlineStr">
        <is>
          <t>Confidential experimental CC structures — pre/post comparison</t>
        </is>
      </c>
      <c r="E95" s="151" t="inlineStr">
        <is>
          <t>Oracle Planning: What-If scenario with restricted visibility (WF-59 security). CUST_ReorgComparison: side-by-side view — current hierarchy vs proposed hierarchy. Dashboard: Reorg_C</t>
        </is>
      </c>
      <c r="F95" s="219" t="inlineStr">
        <is>
          <t>P2-Should Have</t>
        </is>
      </c>
    </row>
    <row r="96" ht="38" customHeight="1">
      <c r="A96" s="149" t="n">
        <v>10</v>
      </c>
      <c r="B96" s="216" t="inlineStr">
        <is>
          <t>WF-39</t>
        </is>
      </c>
      <c r="C96" s="149" t="inlineStr">
        <is>
          <t>Scenarios
Planning Functionality</t>
        </is>
      </c>
      <c r="D96" s="149" t="inlineStr">
        <is>
          <t>Top-down and bottom-up planning by version</t>
        </is>
      </c>
      <c r="E96" s="149" t="inlineStr">
        <is>
          <t>Oracle Planning: Top-Down version — envelope loaded at Division level by CFO; dept planners see constraint, distribute bottom-up. Bottom-Up version — dept planners build freely; co</t>
        </is>
      </c>
      <c r="F96" s="206" t="inlineStr">
        <is>
          <t>P1-Must Have</t>
        </is>
      </c>
    </row>
    <row r="97" ht="38" customHeight="1">
      <c r="A97" s="151" t="n">
        <v>11</v>
      </c>
      <c r="B97" s="217" t="inlineStr">
        <is>
          <t>WF-40</t>
        </is>
      </c>
      <c r="C97" s="151" t="inlineStr">
        <is>
          <t>Scenarios
Planning Functionality</t>
        </is>
      </c>
      <c r="D97" s="151" t="inlineStr">
        <is>
          <t>Side-by-side A/B/C version comparison</t>
        </is>
      </c>
      <c r="E97" s="151" t="inlineStr">
        <is>
          <t>Oracle Planning: Smart View ad-hoc grid — multi-version axis. Dashboard: Scenario_Comparison_Dashboard showing WhatIf_A vs WhatIf_B vs Working on key metrics (Total_Comp, Total_FTE</t>
        </is>
      </c>
      <c r="F97" s="219" t="inlineStr">
        <is>
          <t>P2-Should Have</t>
        </is>
      </c>
    </row>
    <row r="98" ht="38" customHeight="1">
      <c r="A98" s="149" t="n">
        <v>12</v>
      </c>
      <c r="B98" s="216" t="inlineStr">
        <is>
          <t>WF-45</t>
        </is>
      </c>
      <c r="C98" s="149" t="inlineStr">
        <is>
          <t>Scenarios
Drivers</t>
        </is>
      </c>
      <c r="D98" s="149" t="inlineStr">
        <is>
          <t>Attrition — vacancy not replaced, headcount reduces</t>
        </is>
      </c>
      <c r="E98" s="149" t="inlineStr">
        <is>
          <t xml:space="preserve">Oracle Planning: Attrition_Flag on position. CUST_AttritionCalc: IF Attrition_Flag = Y, position status → Closed_Attrition; HC count decremented from effective month; cost zeroed. </t>
        </is>
      </c>
      <c r="F98" s="206" t="inlineStr">
        <is>
          <t>P1-Must Have</t>
        </is>
      </c>
    </row>
    <row r="99" ht="38" customHeight="1">
      <c r="A99" s="151" t="n">
        <v>13</v>
      </c>
      <c r="B99" s="217" t="inlineStr">
        <is>
          <t>WF-54</t>
        </is>
      </c>
      <c r="C99" s="151" t="inlineStr">
        <is>
          <t>Scenarios
Planning Functionality</t>
        </is>
      </c>
      <c r="D99" s="151" t="inlineStr">
        <is>
          <t>Effective-dated movements — transfers, promotions, leavers</t>
        </is>
      </c>
      <c r="E99" s="151" t="inlineStr">
        <is>
          <t>Oracle Planning WFP: Effective-date attribute on Position. CUST_EffectiveDateCalc: prorate cost from effective month. Movement types: Transfer (CC change), Promotion (grade change)</t>
        </is>
      </c>
      <c r="F99" s="208" t="inlineStr">
        <is>
          <t>P1-Must Have</t>
        </is>
      </c>
    </row>
    <row r="100" ht="38" customHeight="1">
      <c r="A100" s="149" t="n">
        <v>14</v>
      </c>
      <c r="B100" s="216" t="inlineStr">
        <is>
          <t>WF-55</t>
        </is>
      </c>
      <c r="C100" s="149" t="inlineStr">
        <is>
          <t>Scenarios
Planning Functionality</t>
        </is>
      </c>
      <c r="D100" s="149" t="inlineStr">
        <is>
          <t>Departmental envelopes visible during planning</t>
        </is>
      </c>
      <c r="E100" s="149" t="inlineStr">
        <is>
          <t>Oracle Planning: Top_Down_Envelope loaded to 'Budget_Envelope' account member. Planning form: envelope displayed as read-only reference column beside forecast input. CUST_EnvelopeV</t>
        </is>
      </c>
      <c r="F100" s="206" t="inlineStr">
        <is>
          <t>P1-Must Have</t>
        </is>
      </c>
    </row>
    <row r="101" ht="38" customHeight="1">
      <c r="A101" s="151" t="n">
        <v>15</v>
      </c>
      <c r="B101" s="217" t="inlineStr">
        <is>
          <t>WF-56</t>
        </is>
      </c>
      <c r="C101" s="151" t="inlineStr">
        <is>
          <t>Scenarios
Drivers</t>
        </is>
      </c>
      <c r="D101" s="151" t="inlineStr">
        <is>
          <t>Vacancy actionable via underlying drivers and trending</t>
        </is>
      </c>
      <c r="E101" s="151" t="inlineStr">
        <is>
          <t xml:space="preserve">Oracle Planning: Vacancy_Driver_Dashboard — waterfall chart showing: Opening_Vacant + New_Turnover − External_Hires − Internal_Fills = Closing_Vacant. KPI tiles: Avg_Time_to_Fill, </t>
        </is>
      </c>
      <c r="F101" s="219" t="inlineStr">
        <is>
          <t>P2-Should Have</t>
        </is>
      </c>
    </row>
    <row r="102" ht="38" customHeight="1">
      <c r="A102" s="149" t="n">
        <v>16</v>
      </c>
      <c r="B102" s="216" t="inlineStr">
        <is>
          <t>WF-57</t>
        </is>
      </c>
      <c r="C102" s="149" t="inlineStr">
        <is>
          <t>Scenarios
Edge Cases</t>
        </is>
      </c>
      <c r="D102" s="149" t="inlineStr">
        <is>
          <t>Contingent vs FTE cost trade-off comparison</t>
        </is>
      </c>
      <c r="E102" s="149" t="inlineStr">
        <is>
          <t>Oracle Planning: What-If scenario — copy current position as Contingent_Option vs FTE_Option. CUST_FTEvContingentCompare: outputs fully-loaded FTE cost vs contractor cost (incl. be</t>
        </is>
      </c>
      <c r="F102" s="218" t="inlineStr">
        <is>
          <t>P2-Should Have</t>
        </is>
      </c>
    </row>
    <row r="103" ht="38" customHeight="1">
      <c r="A103" s="151" t="n">
        <v>17</v>
      </c>
      <c r="B103" s="217" t="inlineStr">
        <is>
          <t>WF-80</t>
        </is>
      </c>
      <c r="C103" s="151" t="inlineStr">
        <is>
          <t>Scenarios
Planning Functionality</t>
        </is>
      </c>
      <c r="D103" s="151" t="inlineStr">
        <is>
          <t>Transfer between cost centres — no approval workflow required</t>
        </is>
      </c>
      <c r="E103" s="151" t="inlineStr">
        <is>
          <t>Oracle Planning: CUST_CCTransfer Groovy — moves employee linkage from old CC to new CC effective from specified month. No approval gate required (distinguishes from structural reor</t>
        </is>
      </c>
      <c r="F103" s="219" t="inlineStr">
        <is>
          <t>P2-Should Have</t>
        </is>
      </c>
    </row>
    <row r="104" ht="38" customHeight="1">
      <c r="A104" s="149" t="n">
        <v>18</v>
      </c>
      <c r="B104" s="216" t="inlineStr">
        <is>
          <t>WF-82</t>
        </is>
      </c>
      <c r="C104" s="149" t="inlineStr">
        <is>
          <t>Scenarios
Planning Functionality</t>
        </is>
      </c>
      <c r="D104" s="149" t="inlineStr">
        <is>
          <t>Termination/departure effective from specified month</t>
        </is>
      </c>
      <c r="E104" s="149" t="inlineStr">
        <is>
          <t>Oracle Planning WFP: CUST_TerminationLogic — input: Position_ID + Effective_Term_Month. Logic: zero all comp accounts from effective month onward. Severance: Severance_Cost = Base_</t>
        </is>
      </c>
      <c r="F104" s="206" t="inlineStr">
        <is>
          <t>P1-Must Have</t>
        </is>
      </c>
    </row>
    <row r="105" ht="38" customHeight="1">
      <c r="A105" s="151" t="n">
        <v>19</v>
      </c>
      <c r="B105" s="217" t="inlineStr">
        <is>
          <t>WF-93</t>
        </is>
      </c>
      <c r="C105" s="151" t="inlineStr">
        <is>
          <t>Scenarios
Planning Functionality</t>
        </is>
      </c>
      <c r="D105" s="151" t="inlineStr">
        <is>
          <t>Planners adjust driver-related inputs</t>
        </is>
      </c>
      <c r="E105" s="151" t="inlineStr">
        <is>
          <t>Oracle Planning: Driver assumption forms — open for planner input per planning unit. Drivers: Merit_Pct, COLA_Pct, Turnover_Rate, Time_to_Fill, Benefit_Rates. Lock mechanism: drive</t>
        </is>
      </c>
      <c r="F105" s="208" t="inlineStr">
        <is>
          <t>P1-Must Have</t>
        </is>
      </c>
    </row>
    <row r="106" ht="38" customHeight="1">
      <c r="A106" s="149" t="n">
        <v>20</v>
      </c>
      <c r="B106" s="216" t="inlineStr">
        <is>
          <t>WF-97</t>
        </is>
      </c>
      <c r="C106" s="149" t="inlineStr">
        <is>
          <t>Scenarios
Scenario Planning</t>
        </is>
      </c>
      <c r="D106" s="149" t="inlineStr">
        <is>
          <t>Dynamic hierarchy group selection — see only selected groups</t>
        </is>
      </c>
      <c r="E106" s="149" t="inlineStr">
        <is>
          <t>Oracle Planning: Smart View: member selector for ad-hoc hierarchy filtering. Planning forms: user-defined subset prompts on Entity and Department dimensions. Dashboard: dynamic fil</t>
        </is>
      </c>
      <c r="F106" s="218" t="inlineStr">
        <is>
          <t>P2-Should Have</t>
        </is>
      </c>
    </row>
    <row r="107" ht="38" customHeight="1">
      <c r="A107" s="151" t="n">
        <v>21</v>
      </c>
      <c r="B107" s="217" t="inlineStr">
        <is>
          <t>WF-61</t>
        </is>
      </c>
      <c r="C107" s="151" t="inlineStr">
        <is>
          <t>Security
Employee Data</t>
        </is>
      </c>
      <c r="D107" s="151" t="inlineStr">
        <is>
          <t>Anonymity thresholds for small teams</t>
        </is>
      </c>
      <c r="E107" s="151" t="inlineStr">
        <is>
          <t>Oracle Planning: CUST_AnonymityCheck — if Filled_HC &lt; 3 in any CC/Grade combination, suppress individual comp detail; display aggregated amount only. Narrative Reporting: minimum h</t>
        </is>
      </c>
      <c r="F107" s="219" t="inlineStr">
        <is>
          <t>P2-Should Have</t>
        </is>
      </c>
    </row>
    <row r="108" ht="38" customHeight="1">
      <c r="A108" s="149" t="n">
        <v>22</v>
      </c>
      <c r="B108" s="216" t="inlineStr">
        <is>
          <t>WF-03</t>
        </is>
      </c>
      <c r="C108" s="149" t="inlineStr">
        <is>
          <t>Reports / Views
Reports - Audit</t>
        </is>
      </c>
      <c r="D108" s="149" t="inlineStr">
        <is>
          <t>Audit report — changes between versions</t>
        </is>
      </c>
      <c r="E108" s="149" t="inlineStr">
        <is>
          <t>Oracle Planning: Built-in audit log — Admin → Audit. Custom: CUST_AuditReport Groovy compares Version_A vs Version_B at cell level and outputs delta report. Narrative Reporting: NR</t>
        </is>
      </c>
      <c r="F108" s="206" t="inlineStr">
        <is>
          <t>P1-Must Have</t>
        </is>
      </c>
    </row>
    <row r="109" ht="38" customHeight="1">
      <c r="A109" s="151" t="n">
        <v>23</v>
      </c>
      <c r="B109" s="217" t="inlineStr">
        <is>
          <t>WF-04</t>
        </is>
      </c>
      <c r="C109" s="151" t="inlineStr">
        <is>
          <t>Reports / Views
Reports - Financial</t>
        </is>
      </c>
      <c r="D109" s="151" t="inlineStr">
        <is>
          <t>Management reporting distinct from financial reporting</t>
        </is>
      </c>
      <c r="E109" s="151" t="inlineStr">
        <is>
          <t>Oracle Planning: Alternate account hierarchy — 'Management_View' (Personnel / G&amp;A / ICP) vs 'Financial_View' (GL accounts). CUST_MgmtReportClassify: routes costs to correct managem</t>
        </is>
      </c>
      <c r="F109" s="208" t="inlineStr">
        <is>
          <t>P1-Must Have</t>
        </is>
      </c>
    </row>
    <row r="110" ht="38" customHeight="1">
      <c r="A110" s="149" t="n">
        <v>24</v>
      </c>
      <c r="B110" s="216" t="inlineStr">
        <is>
          <t>WF-53</t>
        </is>
      </c>
      <c r="C110" s="149" t="inlineStr">
        <is>
          <t>Reports / Views
Reports - Audit</t>
        </is>
      </c>
      <c r="D110" s="149" t="inlineStr">
        <is>
          <t>Reconciliation checkpoints — WFP vs Financial/Reporting</t>
        </is>
      </c>
      <c r="E110" s="149" t="inlineStr">
        <is>
          <t>Oracle Planning: CUST_WFPtoFSReconcile — compares Personnel_Total in WFP cube vs FS cube. Reconciliation report: automated variance table — WFP_Total, FS_Total, Difference, Toleran</t>
        </is>
      </c>
      <c r="F110" s="206" t="inlineStr">
        <is>
          <t>P1-Must Have</t>
        </is>
      </c>
    </row>
    <row r="111" ht="38" customHeight="1">
      <c r="A111" s="151" t="n">
        <v>25</v>
      </c>
      <c r="B111" s="217" t="inlineStr">
        <is>
          <t>WF-87</t>
        </is>
      </c>
      <c r="C111" s="151" t="inlineStr">
        <is>
          <t>Reports / Views
Reports - BOR</t>
        </is>
      </c>
      <c r="D111" s="151" t="inlineStr">
        <is>
          <t>Budget Objective Report — WFP + FS cube combined</t>
        </is>
      </c>
      <c r="E111" s="151" t="inlineStr">
        <is>
          <t xml:space="preserve">Oracle Planning: BOR report uses FDMEE cross-cube extract. Narrative Reporting: BOR_Report template with embedded Smart View queries to both WFP and FS cubes. Security: role-based </t>
        </is>
      </c>
      <c r="F111" s="208" t="inlineStr">
        <is>
          <t>P1-Must Have</t>
        </is>
      </c>
    </row>
    <row r="112" ht="38" customHeight="1">
      <c r="A112" s="149" t="n">
        <v>26</v>
      </c>
      <c r="B112" s="216" t="inlineStr">
        <is>
          <t>WF-96</t>
        </is>
      </c>
      <c r="C112" s="149" t="inlineStr">
        <is>
          <t>Reports / Views
Reports - Variance</t>
        </is>
      </c>
      <c r="D112" s="149" t="inlineStr">
        <is>
          <t>Variance — prior period actuals vs prior forecast and budget</t>
        </is>
      </c>
      <c r="E112" s="149" t="inlineStr">
        <is>
          <t>Oracle Planning: Variance accounts: Actual_vs_Budget = Actual − Budget; Actual_vs_Forecast = Actual − Forecast; Prior_Period_Variance. CUST_VarianceCalc: computed monthly. Smart Vi</t>
        </is>
      </c>
      <c r="F112" s="218" t="inlineStr">
        <is>
          <t>P2-Should Have</t>
        </is>
      </c>
    </row>
    <row r="113" ht="38" customHeight="1">
      <c r="A113" s="151" t="n">
        <v>27</v>
      </c>
      <c r="B113" s="217" t="inlineStr">
        <is>
          <t>WF-ADV-02</t>
        </is>
      </c>
      <c r="C113" s="151" t="inlineStr">
        <is>
          <t>Business Logic / Calculations
Mass Changes</t>
        </is>
      </c>
      <c r="D113" s="151" t="inlineStr">
        <is>
          <t>Mass changes — bulk headcount transactions in single UI action</t>
        </is>
      </c>
      <c r="E113" s="151" t="inlineStr">
        <is>
          <t>Oracle Planning: CUST_MassUpdate Groovy — accepts array input from mass-change form. Form: Mass_Change_Form with multi-row grid, checkboxes for position selection, bulk field updat</t>
        </is>
      </c>
      <c r="F113" s="219" t="inlineStr">
        <is>
          <t>P2-Should Have</t>
        </is>
      </c>
    </row>
    <row r="114" ht="38" customHeight="1">
      <c r="A114" s="149" t="n">
        <v>28</v>
      </c>
      <c r="B114" s="216" t="inlineStr">
        <is>
          <t>WF-ADV-03</t>
        </is>
      </c>
      <c r="C114" s="149" t="inlineStr">
        <is>
          <t>Business Logic / Calculations
Manual Adjustments</t>
        </is>
      </c>
      <c r="D114" s="149" t="inlineStr">
        <is>
          <t>Manual salary adjustment — override for specific position</t>
        </is>
      </c>
      <c r="E114" s="149" t="inlineStr">
        <is>
          <t>Oracle Planning: Manual_Salary_Override flag on Position form. CUST_ManualOverrideCalc: IF Override_Flag = Y THEN use Override_Salary ELSE use AMS from matrix. Override_Salary inpu</t>
        </is>
      </c>
      <c r="F114" s="206" t="inlineStr">
        <is>
          <t>P1-Must Have</t>
        </is>
      </c>
    </row>
    <row r="115" ht="38" customHeight="1">
      <c r="A115" s="151" t="n">
        <v>29</v>
      </c>
      <c r="B115" s="217" t="inlineStr">
        <is>
          <t>WF-ADV-05</t>
        </is>
      </c>
      <c r="C115" s="151" t="inlineStr">
        <is>
          <t>Scenarios
Long Range</t>
        </is>
      </c>
      <c r="D115" s="151" t="inlineStr">
        <is>
          <t>3–5 year cost projection on rolling basis</t>
        </is>
      </c>
      <c r="E115" s="151" t="inlineStr">
        <is>
          <t>Oracle Planning: Year dimension — Year+1 through Year+5. CUST_LongRangeForecast: applies escalation factors for years 3-5 (Headcount_Growth%, Salary_Escalation%, Benefit_Rate_Trend</t>
        </is>
      </c>
      <c r="F115" s="219" t="inlineStr">
        <is>
          <t>P2-Should Have</t>
        </is>
      </c>
    </row>
    <row r="116" ht="38" customHeight="1">
      <c r="A116" s="149" t="n">
        <v>30</v>
      </c>
      <c r="B116" s="216" t="inlineStr">
        <is>
          <t>WF-ADV-06</t>
        </is>
      </c>
      <c r="C116" s="149" t="inlineStr">
        <is>
          <t>Data Integration
Push to Reporting</t>
        </is>
      </c>
      <c r="D116" s="149" t="inlineStr">
        <is>
          <t>User-triggered push: WFP calc module → REP WFP reporting module</t>
        </is>
      </c>
      <c r="E116" s="149" t="inlineStr">
        <is>
          <t>Oracle Planning: EPM Automate 'Push_to_REP' job exposed via Planning form button (no BI team needed). Dept-level scope: user selects their dept, push runs for that dept only. Copy:</t>
        </is>
      </c>
      <c r="F116" s="206" t="inlineStr">
        <is>
          <t>P1-Must Have</t>
        </is>
      </c>
    </row>
    <row r="117" ht="38" customHeight="1">
      <c r="A117" s="151" t="n">
        <v>31</v>
      </c>
      <c r="B117" s="217" t="inlineStr">
        <is>
          <t>WF-ADV-07</t>
        </is>
      </c>
      <c r="C117" s="151" t="inlineStr">
        <is>
          <t>Data Integration
Push to FS</t>
        </is>
      </c>
      <c r="D117" s="151" t="inlineStr">
        <is>
          <t>User-triggered push: WFP calc module → FS module for aggregation</t>
        </is>
      </c>
      <c r="E117" s="151" t="inlineStr">
        <is>
          <t>Oracle Planning: EPM Automate 'Push_to_FS' job — user-triggered from Planning form. Dept-level: maps WFP Personnel accounts to FS Personnel accounts. CUST_WFPtoFS Groovy: validates</t>
        </is>
      </c>
      <c r="F117" s="208" t="inlineStr">
        <is>
          <t>P1-Must Have</t>
        </is>
      </c>
    </row>
  </sheetData>
  <mergeCells count="6">
    <mergeCell ref="A2:F2"/>
    <mergeCell ref="A54:F54"/>
    <mergeCell ref="A85:F85"/>
    <mergeCell ref="A1:F1"/>
    <mergeCell ref="A34:F34"/>
    <mergeCell ref="A18:F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2" customWidth="1" min="4" max="4"/>
    <col width="8" customWidth="1" min="5" max="5"/>
    <col width="12" customWidth="1" min="6" max="6"/>
    <col width="50" customWidth="1" min="7" max="7"/>
    <col width="20" customWidth="1" min="8" max="8"/>
    <col width="20" customWidth="1" min="9" max="9"/>
    <col width="24" customWidth="1" min="10" max="10"/>
    <col width="28" customWidth="1" min="11" max="11"/>
  </cols>
  <sheetData>
    <row r="1" ht="30" customHeight="1">
      <c r="A1" s="204" t="inlineStr">
        <is>
          <t xml:space="preserve">  ORACLE EPM WFP — CALCULATION RULES REGISTER  |  53 Rules  |  Position-Based Planning</t>
        </is>
      </c>
    </row>
    <row r="2" ht="16" customHeight="1">
      <c r="A2" s="153" t="inlineStr">
        <is>
          <t>#</t>
        </is>
      </c>
      <c r="B2" s="153" t="inlineStr">
        <is>
          <t>Category</t>
        </is>
      </c>
      <c r="C2" s="153" t="inlineStr">
        <is>
          <t>Rule Name</t>
        </is>
      </c>
      <c r="D2" s="153" t="inlineStr">
        <is>
          <t>Type</t>
        </is>
      </c>
      <c r="E2" s="153" t="inlineStr">
        <is>
          <t>Sprint</t>
        </is>
      </c>
      <c r="F2" s="153" t="inlineStr">
        <is>
          <t>WF Refs</t>
        </is>
      </c>
      <c r="G2" s="153" t="inlineStr">
        <is>
          <t>Calculation Logic</t>
        </is>
      </c>
      <c r="H2" s="153" t="inlineStr">
        <is>
          <t>Dimensions</t>
        </is>
      </c>
      <c r="I2" s="153" t="inlineStr">
        <is>
          <t>Input Source</t>
        </is>
      </c>
      <c r="J2" s="153" t="inlineStr">
        <is>
          <t>Output Account</t>
        </is>
      </c>
      <c r="K2" s="153" t="inlineStr">
        <is>
          <t>Notes / Edge Cases</t>
        </is>
      </c>
    </row>
    <row r="3" ht="17" customHeight="1">
      <c r="A3" s="152" t="inlineStr">
        <is>
          <t xml:space="preserve">  ── STANDARD ORACLE (5 rules) ──</t>
        </is>
      </c>
    </row>
    <row r="4" ht="46" customHeight="1">
      <c r="A4" s="151" t="n">
        <v>1</v>
      </c>
      <c r="B4" s="151" t="inlineStr">
        <is>
          <t>Standard Oracle</t>
        </is>
      </c>
      <c r="C4" s="222" t="inlineStr">
        <is>
          <t>OEP_WFPCalcAll</t>
        </is>
      </c>
      <c r="D4" s="240" t="inlineStr">
        <is>
          <t>Standard</t>
        </is>
      </c>
      <c r="E4" s="207" t="inlineStr">
        <is>
          <t>S1</t>
        </is>
      </c>
      <c r="F4" s="151" t="inlineStr">
        <is>
          <t>N/A</t>
        </is>
      </c>
      <c r="G4" s="151" t="inlineStr">
        <is>
          <t>Master WFP calculation — runs all position-based comp calcs for all entities and scenarios</t>
        </is>
      </c>
      <c r="H4" s="151" t="inlineStr">
        <is>
          <t>All</t>
        </is>
      </c>
      <c r="I4" s="151" t="inlineStr">
        <is>
          <t>Oracle Planning native</t>
        </is>
      </c>
      <c r="J4" s="151" t="inlineStr">
        <is>
          <t>All WFP accounts</t>
        </is>
      </c>
      <c r="K4" s="151" t="inlineStr">
        <is>
          <t>Must run ClearAll first to avoid double-count</t>
        </is>
      </c>
    </row>
    <row r="5" ht="46" customHeight="1">
      <c r="A5" s="149" t="n">
        <v>2</v>
      </c>
      <c r="B5" s="149" t="inlineStr">
        <is>
          <t>Standard Oracle</t>
        </is>
      </c>
      <c r="C5" s="223" t="inlineStr">
        <is>
          <t>OEP_WFPClearAll</t>
        </is>
      </c>
      <c r="D5" s="241" t="inlineStr">
        <is>
          <t>Standard</t>
        </is>
      </c>
      <c r="E5" s="210" t="inlineStr">
        <is>
          <t>S1</t>
        </is>
      </c>
      <c r="F5" s="149" t="inlineStr">
        <is>
          <t>N/A</t>
        </is>
      </c>
      <c r="G5" s="149" t="inlineStr">
        <is>
          <t>Clears all WFP data cube blocks before fresh recalculation</t>
        </is>
      </c>
      <c r="H5" s="149" t="inlineStr">
        <is>
          <t>All</t>
        </is>
      </c>
      <c r="I5" s="149" t="inlineStr">
        <is>
          <t>Oracle Planning native</t>
        </is>
      </c>
      <c r="J5" s="149" t="inlineStr">
        <is>
          <t>All WFP accounts</t>
        </is>
      </c>
      <c r="K5" s="149" t="inlineStr">
        <is>
          <t>Sequence: ClearAll → position calcs → AggregateAll</t>
        </is>
      </c>
    </row>
    <row r="6" ht="46" customHeight="1">
      <c r="A6" s="151" t="n">
        <v>3</v>
      </c>
      <c r="B6" s="151" t="inlineStr">
        <is>
          <t>Standard Oracle</t>
        </is>
      </c>
      <c r="C6" s="222" t="inlineStr">
        <is>
          <t>OEP_WFPSpread</t>
        </is>
      </c>
      <c r="D6" s="240" t="inlineStr">
        <is>
          <t>Standard</t>
        </is>
      </c>
      <c r="E6" s="207" t="inlineStr">
        <is>
          <t>S1</t>
        </is>
      </c>
      <c r="F6" s="151" t="inlineStr">
        <is>
          <t>N/A</t>
        </is>
      </c>
      <c r="G6" s="151" t="inlineStr">
        <is>
          <t>Spreads annual/periodic values to months. Modes: Even / Actual-Days / Custom_Spread</t>
        </is>
      </c>
      <c r="H6" s="151" t="inlineStr">
        <is>
          <t>Period, Year</t>
        </is>
      </c>
      <c r="I6" s="151" t="inlineStr">
        <is>
          <t>Oracle Planning native</t>
        </is>
      </c>
      <c r="J6" s="151" t="inlineStr">
        <is>
          <t>All periodic accounts</t>
        </is>
      </c>
      <c r="K6" s="151" t="inlineStr">
        <is>
          <t>Even spread default; custom for bonus/ICP payout timing</t>
        </is>
      </c>
    </row>
    <row r="7" ht="46" customHeight="1">
      <c r="A7" s="149" t="n">
        <v>4</v>
      </c>
      <c r="B7" s="149" t="inlineStr">
        <is>
          <t>Standard Oracle</t>
        </is>
      </c>
      <c r="C7" s="223" t="inlineStr">
        <is>
          <t>OEP_WFPAggregateAll</t>
        </is>
      </c>
      <c r="D7" s="241" t="inlineStr">
        <is>
          <t>Standard</t>
        </is>
      </c>
      <c r="E7" s="210" t="inlineStr">
        <is>
          <t>S1</t>
        </is>
      </c>
      <c r="F7" s="149" t="inlineStr">
        <is>
          <t>N/A</t>
        </is>
      </c>
      <c r="G7" s="149" t="inlineStr">
        <is>
          <t>Rolls up position → dept → division → entity for consolidated reporting</t>
        </is>
      </c>
      <c r="H7" s="149" t="inlineStr">
        <is>
          <t>Entity, Dept</t>
        </is>
      </c>
      <c r="I7" s="149" t="inlineStr">
        <is>
          <t>Oracle Planning native</t>
        </is>
      </c>
      <c r="J7" s="149" t="inlineStr">
        <is>
          <t>Rollup members</t>
        </is>
      </c>
      <c r="K7" s="149" t="inlineStr">
        <is>
          <t>Triggers after all position-level calcs complete</t>
        </is>
      </c>
    </row>
    <row r="8" ht="46" customHeight="1">
      <c r="A8" s="151" t="n">
        <v>5</v>
      </c>
      <c r="B8" s="151" t="inlineStr">
        <is>
          <t>Standard Oracle</t>
        </is>
      </c>
      <c r="C8" s="222" t="inlineStr">
        <is>
          <t>OEP_WFPCalcByEntity</t>
        </is>
      </c>
      <c r="D8" s="240" t="inlineStr">
        <is>
          <t>Standard</t>
        </is>
      </c>
      <c r="E8" s="207" t="inlineStr">
        <is>
          <t>S1</t>
        </is>
      </c>
      <c r="F8" s="151" t="inlineStr">
        <is>
          <t>N/A</t>
        </is>
      </c>
      <c r="G8" s="151" t="inlineStr">
        <is>
          <t>Incremental single-entity calc — real-time update without full enterprise recalc</t>
        </is>
      </c>
      <c r="H8" s="151" t="inlineStr">
        <is>
          <t>Entity, Scenario</t>
        </is>
      </c>
      <c r="I8" s="151" t="inlineStr">
        <is>
          <t>Oracle Planning native</t>
        </is>
      </c>
      <c r="J8" s="151" t="inlineStr">
        <is>
          <t>Entity-scoped accounts</t>
        </is>
      </c>
      <c r="K8" s="151" t="inlineStr">
        <is>
          <t>Used for on-demand re-calc when planner saves changes</t>
        </is>
      </c>
    </row>
    <row r="9" ht="17" customHeight="1">
      <c r="A9" s="242" t="inlineStr">
        <is>
          <t xml:space="preserve">  ── POSITION-BASED (2 rules) ──</t>
        </is>
      </c>
    </row>
    <row r="10" ht="46" customHeight="1">
      <c r="A10" s="149" t="n">
        <v>6</v>
      </c>
      <c r="B10" s="149" t="inlineStr">
        <is>
          <t>Position-Based</t>
        </is>
      </c>
      <c r="C10" s="225" t="inlineStr">
        <is>
          <t>CUST_PositionLifecycle</t>
        </is>
      </c>
      <c r="D10" s="243" t="inlineStr">
        <is>
          <t>Custom Groovy</t>
        </is>
      </c>
      <c r="E10" s="210" t="inlineStr">
        <is>
          <t>S1</t>
        </is>
      </c>
      <c r="F10" s="149" t="inlineStr">
        <is>
          <t>WF-28</t>
        </is>
      </c>
      <c r="G10" s="149" t="inlineStr">
        <is>
          <t>Sets position status based on attributes: Filled/Unfilled/Pending/Pipeline/Closed_Attrition. Routes subsequent calcs.</t>
        </is>
      </c>
      <c r="H10" s="149" t="inlineStr">
        <is>
          <t>Position, Period</t>
        </is>
      </c>
      <c r="I10" s="149" t="inlineStr">
        <is>
          <t>Position attribute table</t>
        </is>
      </c>
      <c r="J10" s="149" t="inlineStr">
        <is>
          <t>Position_Status account</t>
        </is>
      </c>
      <c r="K10" s="149" t="inlineStr">
        <is>
          <t>Runs first in calc sequence — gates all downstream rules</t>
        </is>
      </c>
    </row>
    <row r="11" ht="46" customHeight="1">
      <c r="A11" s="151" t="n">
        <v>7</v>
      </c>
      <c r="B11" s="151" t="inlineStr">
        <is>
          <t>Position-Based</t>
        </is>
      </c>
      <c r="C11" s="224" t="inlineStr">
        <is>
          <t>CUST_MDPlusPlanning</t>
        </is>
      </c>
      <c r="D11" s="244" t="inlineStr">
        <is>
          <t>Custom Groovy</t>
        </is>
      </c>
      <c r="E11" s="207" t="inlineStr">
        <is>
          <t>S1</t>
        </is>
      </c>
      <c r="F11" s="151" t="inlineStr">
        <is>
          <t>WF-19, WF-84</t>
        </is>
      </c>
      <c r="G11" s="151" t="inlineStr">
        <is>
          <t>IF Grade_Flag = MD+ THEN use actual Employee_ID salary ELSE use position-based AMS. Routes MD+ to employee-level calc.</t>
        </is>
      </c>
      <c r="H11" s="151" t="inlineStr">
        <is>
          <t>Position, Grade, Employee</t>
        </is>
      </c>
      <c r="I11" s="151" t="inlineStr">
        <is>
          <t>Grade dimension flag</t>
        </is>
      </c>
      <c r="J11" s="151" t="inlineStr">
        <is>
          <t>MD_Base_Salary account</t>
        </is>
      </c>
      <c r="K11" s="151" t="inlineStr">
        <is>
          <t>Security enforced: MD+ data restricted to HR_Admin + Finance_Admin</t>
        </is>
      </c>
    </row>
    <row r="12" ht="17" customHeight="1">
      <c r="A12" s="245" t="inlineStr">
        <is>
          <t xml:space="preserve">  ── BASE PAY (5 rules) ──</t>
        </is>
      </c>
    </row>
    <row r="13" ht="46" customHeight="1">
      <c r="A13" s="149" t="n">
        <v>8</v>
      </c>
      <c r="B13" s="149" t="inlineStr">
        <is>
          <t>Base Pay</t>
        </is>
      </c>
      <c r="C13" s="246" t="inlineStr">
        <is>
          <t>CUST_AvgMonthlySalary_Filled</t>
        </is>
      </c>
      <c r="D13" s="243" t="inlineStr">
        <is>
          <t>Custom Groovy</t>
        </is>
      </c>
      <c r="E13" s="228" t="inlineStr">
        <is>
          <t>S3</t>
        </is>
      </c>
      <c r="F13" s="149" t="inlineStr">
        <is>
          <t>WF-68</t>
        </is>
      </c>
      <c r="G13" s="149" t="inlineStr">
        <is>
          <t>Avg_Monthly_Salary = AVG(Annual_Salary[Sub_Dept, Location, Role, Worker_Type]) / 12 for Status=Filled positions.</t>
        </is>
      </c>
      <c r="H13" s="149" t="inlineStr">
        <is>
          <t>Position, Sub_Dept, Location, Job, Worker_Type</t>
        </is>
      </c>
      <c r="I13" s="149" t="inlineStr">
        <is>
          <t>Talent Data Product actual salary load</t>
        </is>
      </c>
      <c r="J13" s="149" t="inlineStr">
        <is>
          <t>AMS_Matrix assumption table</t>
        </is>
      </c>
      <c r="K13" s="149" t="inlineStr">
        <is>
          <t>Refreshed monthly; used as base for all comp calcs</t>
        </is>
      </c>
    </row>
    <row r="14" ht="46" customHeight="1">
      <c r="A14" s="151" t="n">
        <v>9</v>
      </c>
      <c r="B14" s="151" t="inlineStr">
        <is>
          <t>Base Pay</t>
        </is>
      </c>
      <c r="C14" s="247" t="inlineStr">
        <is>
          <t>CUST_AvgMonthlySalary_Pending</t>
        </is>
      </c>
      <c r="D14" s="244" t="inlineStr">
        <is>
          <t>Custom Groovy</t>
        </is>
      </c>
      <c r="E14" s="211" t="inlineStr">
        <is>
          <t>S3</t>
        </is>
      </c>
      <c r="F14" s="151" t="inlineStr">
        <is>
          <t>WF-69</t>
        </is>
      </c>
      <c r="G14" s="151" t="inlineStr">
        <is>
          <t>IF AMS_Matrix[Sub_Dept,Location,Role,Worker_Type] exists → use it. ELSE use Midpoint[Home_Location, Level] from Talent DP.</t>
        </is>
      </c>
      <c r="H14" s="151" t="inlineStr">
        <is>
          <t>Position, Sub_Dept, Location, Job, Worker_Type</t>
        </is>
      </c>
      <c r="I14" s="151" t="inlineStr">
        <is>
          <t>AMS_Matrix + Midpoint table</t>
        </is>
      </c>
      <c r="J14" s="151" t="inlineStr">
        <is>
          <t>Avg_Monthly_Salary account per position</t>
        </is>
      </c>
      <c r="K14" s="151" t="inlineStr">
        <is>
          <t>Null guard: if both null, flag position for Finance review</t>
        </is>
      </c>
    </row>
    <row r="15" ht="46" customHeight="1">
      <c r="A15" s="149" t="n">
        <v>10</v>
      </c>
      <c r="B15" s="149" t="inlineStr">
        <is>
          <t>Base Pay</t>
        </is>
      </c>
      <c r="C15" s="246" t="inlineStr">
        <is>
          <t>CUST_ManualOverrideCalc</t>
        </is>
      </c>
      <c r="D15" s="243" t="inlineStr">
        <is>
          <t>Custom Groovy</t>
        </is>
      </c>
      <c r="E15" s="216" t="inlineStr">
        <is>
          <t>S4</t>
        </is>
      </c>
      <c r="F15" s="149" t="inlineStr">
        <is>
          <t>WF-ADV-03</t>
        </is>
      </c>
      <c r="G15" s="149" t="inlineStr">
        <is>
          <t>IF Override_Flag = Y THEN Effective_Salary = Override_Salary ELSE Effective_Salary = AMS_Matrix value. Cascades to all downstream calcs.</t>
        </is>
      </c>
      <c r="H15" s="149" t="inlineStr">
        <is>
          <t>Position</t>
        </is>
      </c>
      <c r="I15" s="149" t="inlineStr">
        <is>
          <t>Manual input form</t>
        </is>
      </c>
      <c r="J15" s="149" t="inlineStr">
        <is>
          <t>Effective_Salary account</t>
        </is>
      </c>
      <c r="K15" s="149" t="inlineStr">
        <is>
          <t>Override logged with requester, old and new values</t>
        </is>
      </c>
    </row>
    <row r="16" ht="46" customHeight="1">
      <c r="A16" s="151" t="n">
        <v>11</v>
      </c>
      <c r="B16" s="151" t="inlineStr">
        <is>
          <t>Base Pay</t>
        </is>
      </c>
      <c r="C16" s="247" t="inlineStr">
        <is>
          <t>CUST_SalaryRollForward</t>
        </is>
      </c>
      <c r="D16" s="244" t="inlineStr">
        <is>
          <t>Custom Groovy</t>
        </is>
      </c>
      <c r="E16" s="211" t="inlineStr">
        <is>
          <t>S3</t>
        </is>
      </c>
      <c r="F16" s="151" t="inlineStr">
        <is>
          <t>WF-85</t>
        </is>
      </c>
      <c r="G16" s="151" t="inlineStr">
        <is>
          <t>Next_Year_Base = AMS_Month_12 (last month of FY incl. merit). Runs post-Final lock, pre-new-year planning open.</t>
        </is>
      </c>
      <c r="H16" s="151" t="inlineStr">
        <is>
          <t>Position, Period, Year</t>
        </is>
      </c>
      <c r="I16" s="151" t="inlineStr">
        <is>
          <t>Current year final AMS + Merit</t>
        </is>
      </c>
      <c r="J16" s="151" t="inlineStr">
        <is>
          <t>Next_Year_AMS table</t>
        </is>
      </c>
      <c r="K16" s="151" t="inlineStr">
        <is>
          <t>Ensures prior-year merit compound baked into new-year starting base</t>
        </is>
      </c>
    </row>
    <row r="17" ht="46" customHeight="1">
      <c r="A17" s="149" t="n">
        <v>12</v>
      </c>
      <c r="B17" s="149" t="inlineStr">
        <is>
          <t>Base Pay</t>
        </is>
      </c>
      <c r="C17" s="246" t="inlineStr">
        <is>
          <t>CUST_PartialMonthCalc</t>
        </is>
      </c>
      <c r="D17" s="243" t="inlineStr">
        <is>
          <t>Custom Groovy</t>
        </is>
      </c>
      <c r="E17" s="228" t="inlineStr">
        <is>
          <t>S3</t>
        </is>
      </c>
      <c r="F17" s="149" t="inlineStr">
        <is>
          <t>WF-89</t>
        </is>
      </c>
      <c r="G17" s="149" t="inlineStr">
        <is>
          <t>IF Position_Status = Open AND Expected_Hire_Date set THEN Monthly_Cost[hire_month] = Full × (Days_Remaining / Days_in_Period).</t>
        </is>
      </c>
      <c r="H17" s="149" t="inlineStr">
        <is>
          <t>Position, Period</t>
        </is>
      </c>
      <c r="I17" s="149" t="inlineStr">
        <is>
          <t>Expected_Hire_Date attribute</t>
        </is>
      </c>
      <c r="J17" s="149" t="inlineStr">
        <is>
          <t>Base_Salary_Partial account</t>
        </is>
      </c>
      <c r="K17" s="149" t="inlineStr">
        <is>
          <t>All downstream calcs (merit, benefits, ICP) also prorated from hire month</t>
        </is>
      </c>
    </row>
    <row r="18" ht="17" customHeight="1">
      <c r="A18" s="248" t="inlineStr">
        <is>
          <t xml:space="preserve">  ── MERIT (3 rules) ──</t>
        </is>
      </c>
    </row>
    <row r="19" ht="46" customHeight="1">
      <c r="A19" s="151" t="n">
        <v>13</v>
      </c>
      <c r="B19" s="151" t="inlineStr">
        <is>
          <t>Merit</t>
        </is>
      </c>
      <c r="C19" s="249" t="inlineStr">
        <is>
          <t>CUST_MeritEligibility</t>
        </is>
      </c>
      <c r="D19" s="244" t="inlineStr">
        <is>
          <t>Custom Groovy</t>
        </is>
      </c>
      <c r="E19" s="211" t="inlineStr">
        <is>
          <t>S3</t>
        </is>
      </c>
      <c r="F19" s="151" t="inlineStr">
        <is>
          <t>WF-83</t>
        </is>
      </c>
      <c r="G19" s="151" t="inlineStr">
        <is>
          <t>Merit_Eligible_Flag = Y IF Worker_Type IN (Regular_FTE, Secondment). Merit_Eligible_Flag = N IF Worker_Type IN (Intern, Contingent_Vendor, Contingent_Backfill).</t>
        </is>
      </c>
      <c r="H19" s="151" t="inlineStr">
        <is>
          <t>Position, Worker_Type</t>
        </is>
      </c>
      <c r="I19" s="151" t="inlineStr">
        <is>
          <t>Worker_Type dimension</t>
        </is>
      </c>
      <c r="J19" s="151" t="inlineStr">
        <is>
          <t>Merit_Eligible_Flag attribute</t>
        </is>
      </c>
      <c r="K19" s="151" t="inlineStr">
        <is>
          <t>Must run before CUST_MeritCalc</t>
        </is>
      </c>
    </row>
    <row r="20" ht="46" customHeight="1">
      <c r="A20" s="149" t="n">
        <v>14</v>
      </c>
      <c r="B20" s="149" t="inlineStr">
        <is>
          <t>Merit</t>
        </is>
      </c>
      <c r="C20" s="250" t="inlineStr">
        <is>
          <t>CUST_MeritExclusion</t>
        </is>
      </c>
      <c r="D20" s="243" t="inlineStr">
        <is>
          <t>Custom Groovy</t>
        </is>
      </c>
      <c r="E20" s="228" t="inlineStr">
        <is>
          <t>S3</t>
        </is>
      </c>
      <c r="F20" s="149" t="inlineStr">
        <is>
          <t>WF-71</t>
        </is>
      </c>
      <c r="G20" s="149" t="inlineStr">
        <is>
          <t>IF Promotion_Flag = Y AND Promotion_Year = Current_FY THEN Merit_Pct = 0 (newly promoted excluded from merit in same year).</t>
        </is>
      </c>
      <c r="H20" s="149" t="inlineStr">
        <is>
          <t>Position, Year</t>
        </is>
      </c>
      <c r="I20" s="149" t="inlineStr">
        <is>
          <t>Promotion_Flag attribute</t>
        </is>
      </c>
      <c r="J20" s="149" t="inlineStr">
        <is>
          <t>Merit_Override_Flag</t>
        </is>
      </c>
      <c r="K20" s="149" t="inlineStr">
        <is>
          <t>Flag auto-reset to N at fiscal year start</t>
        </is>
      </c>
    </row>
    <row r="21" ht="46" customHeight="1">
      <c r="A21" s="151" t="n">
        <v>15</v>
      </c>
      <c r="B21" s="151" t="inlineStr">
        <is>
          <t>Merit</t>
        </is>
      </c>
      <c r="C21" s="249" t="inlineStr">
        <is>
          <t>CUST_MeritCalc</t>
        </is>
      </c>
      <c r="D21" s="244" t="inlineStr">
        <is>
          <t>Custom Groovy</t>
        </is>
      </c>
      <c r="E21" s="211" t="inlineStr">
        <is>
          <t>S3</t>
        </is>
      </c>
      <c r="F21" s="151" t="inlineStr">
        <is>
          <t>WF-70</t>
        </is>
      </c>
      <c r="G21" s="151" t="inlineStr">
        <is>
          <t>Merit_Cost_Monthly = Avg_Monthly_Salary × Merit_Pct[Grade, Year] for Period &gt;= Merit_Month. Zero for pre-merit months.</t>
        </is>
      </c>
      <c r="H21" s="151" t="inlineStr">
        <is>
          <t>Position, Grade, Period</t>
        </is>
      </c>
      <c r="I21" s="151" t="inlineStr">
        <is>
          <t>Merit_Eligible_Flag + Merit_Pct table</t>
        </is>
      </c>
      <c r="J21" s="151" t="inlineStr">
        <is>
          <t>Merit_Cost account</t>
        </is>
      </c>
      <c r="K21" s="151" t="inlineStr">
        <is>
          <t>Merit_Month configured per cycle; Merit_Pct table Finance-owned</t>
        </is>
      </c>
    </row>
    <row r="22" ht="17" customHeight="1">
      <c r="A22" s="251" t="inlineStr">
        <is>
          <t xml:space="preserve">  ── BENEFITS (1 rules) ──</t>
        </is>
      </c>
    </row>
    <row r="23" ht="46" customHeight="1">
      <c r="A23" s="149" t="n">
        <v>16</v>
      </c>
      <c r="B23" s="149" t="inlineStr">
        <is>
          <t>Benefits</t>
        </is>
      </c>
      <c r="C23" s="252" t="inlineStr">
        <is>
          <t>CUST_BenefitsCalc</t>
        </is>
      </c>
      <c r="D23" s="243" t="inlineStr">
        <is>
          <t>Custom Groovy</t>
        </is>
      </c>
      <c r="E23" s="228" t="inlineStr">
        <is>
          <t>S3</t>
        </is>
      </c>
      <c r="F23" s="149" t="inlineStr">
        <is>
          <t>WF-72</t>
        </is>
      </c>
      <c r="G23" s="149" t="inlineStr">
        <is>
          <t>(Avg_Monthly_Salary + Merit_Cost_Monthly) × Blended_Benefit_Rate[Worker_Type, Location]. Includes: CPP, EI, WSIB, Group Health, Pension.</t>
        </is>
      </c>
      <c r="H23" s="149" t="inlineStr">
        <is>
          <t>Position, Worker_Type, Location</t>
        </is>
      </c>
      <c r="I23" s="149" t="inlineStr">
        <is>
          <t>AMS + Merit + Benefit_Rates table</t>
        </is>
      </c>
      <c r="J23" s="149" t="inlineStr">
        <is>
          <t>Benefits_Total account</t>
        </is>
      </c>
      <c r="K23" s="149" t="inlineStr">
        <is>
          <t>Does NOT include ICP benefits — handled by CR-22</t>
        </is>
      </c>
    </row>
    <row r="24" ht="17" customHeight="1">
      <c r="A24" s="253" t="inlineStr">
        <is>
          <t xml:space="preserve">  ── PROMOTIONS (1 rules) ──</t>
        </is>
      </c>
    </row>
    <row r="25" ht="46" customHeight="1">
      <c r="A25" s="151" t="n">
        <v>17</v>
      </c>
      <c r="B25" s="151" t="inlineStr">
        <is>
          <t>Promotions</t>
        </is>
      </c>
      <c r="C25" s="254" t="inlineStr">
        <is>
          <t>CUST_PromotionCalc</t>
        </is>
      </c>
      <c r="D25" s="244" t="inlineStr">
        <is>
          <t>Custom Groovy</t>
        </is>
      </c>
      <c r="E25" s="211" t="inlineStr">
        <is>
          <t>S3</t>
        </is>
      </c>
      <c r="F25" s="151" t="inlineStr">
        <is>
          <t>WF-81</t>
        </is>
      </c>
      <c r="G25" s="151" t="inlineStr">
        <is>
          <t>Promotion_Cost = Avg_Monthly_Salary × Promotion_Rate[Dept, Grade]. Sets Promotion_Flag=Y. Stored separately from Base_Salary.</t>
        </is>
      </c>
      <c r="H25" s="151" t="inlineStr">
        <is>
          <t>Position, Dept, Grade</t>
        </is>
      </c>
      <c r="I25" s="151" t="inlineStr">
        <is>
          <t>Promotion_Rate driver (Talent DP)</t>
        </is>
      </c>
      <c r="J25" s="151" t="inlineStr">
        <is>
          <t>Promotion_Increment account</t>
        </is>
      </c>
      <c r="K25" s="151" t="inlineStr">
        <is>
          <t>Triggers WF-71 Merit exclusion for same-year promoted positions</t>
        </is>
      </c>
    </row>
    <row r="26" ht="17" customHeight="1">
      <c r="A26" s="255" t="inlineStr">
        <is>
          <t xml:space="preserve">  ── ICP (4 rules) ──</t>
        </is>
      </c>
    </row>
    <row r="27" ht="46" customHeight="1">
      <c r="A27" s="149" t="n">
        <v>18</v>
      </c>
      <c r="B27" s="149" t="inlineStr">
        <is>
          <t>ICP</t>
        </is>
      </c>
      <c r="C27" s="227" t="inlineStr">
        <is>
          <t>CUST_ICPInYear</t>
        </is>
      </c>
      <c r="D27" s="243" t="inlineStr">
        <is>
          <t>Custom Groovy</t>
        </is>
      </c>
      <c r="E27" s="228" t="inlineStr">
        <is>
          <t>S3</t>
        </is>
      </c>
      <c r="F27" s="149" t="inlineStr">
        <is>
          <t>WF-74</t>
        </is>
      </c>
      <c r="G27" s="149" t="inlineStr">
        <is>
          <t>ICP_InYear_Gross = Annual_Salary × ICP_Target_Pct × Total_Fund_Multiplier × Individual_Multiplier × Dept_Multiplier.</t>
        </is>
      </c>
      <c r="H27" s="149" t="inlineStr">
        <is>
          <t>Position, Scenario</t>
        </is>
      </c>
      <c r="I27" s="149" t="inlineStr">
        <is>
          <t>ICP_Assumption_Form (PeopleFluent via Talent DP)</t>
        </is>
      </c>
      <c r="J27" s="149" t="inlineStr">
        <is>
          <t>ICP_InYear_Gross account</t>
        </is>
      </c>
      <c r="K27" s="149" t="inlineStr">
        <is>
          <t>All multipliers sourced from PeopleFluent — not manual input</t>
        </is>
      </c>
    </row>
    <row r="28" ht="46" customHeight="1">
      <c r="A28" s="151" t="n">
        <v>19</v>
      </c>
      <c r="B28" s="151" t="inlineStr">
        <is>
          <t>ICP</t>
        </is>
      </c>
      <c r="C28" s="226" t="inlineStr">
        <is>
          <t>CUST_ICPMeritBenefits</t>
        </is>
      </c>
      <c r="D28" s="244" t="inlineStr">
        <is>
          <t>Custom Groovy</t>
        </is>
      </c>
      <c r="E28" s="211" t="inlineStr">
        <is>
          <t>S3</t>
        </is>
      </c>
      <c r="F28" s="151" t="inlineStr">
        <is>
          <t>WF-75</t>
        </is>
      </c>
      <c r="G28" s="151" t="inlineStr">
        <is>
          <t>ICP_Merit_Comp = (Salary + Merit) × ICP_Pct × Multiplier. ICP_Benefits = ICP_InYear_Gross × Benefit_Rate_ICP[Worker_Type].</t>
        </is>
      </c>
      <c r="H28" s="151" t="inlineStr">
        <is>
          <t>Position, Worker_Type</t>
        </is>
      </c>
      <c r="I28" s="151" t="inlineStr">
        <is>
          <t>ICP_InYear_Gross + Merit</t>
        </is>
      </c>
      <c r="J28" s="151" t="inlineStr">
        <is>
          <t>ICP_Benefits_Total account</t>
        </is>
      </c>
      <c r="K28" s="151" t="inlineStr">
        <is>
          <t>Tracked separately from base benefits for management reporting</t>
        </is>
      </c>
    </row>
    <row r="29" ht="46" customHeight="1">
      <c r="A29" s="149" t="n">
        <v>20</v>
      </c>
      <c r="B29" s="149" t="inlineStr">
        <is>
          <t>ICP</t>
        </is>
      </c>
      <c r="C29" s="227" t="inlineStr">
        <is>
          <t>CUST_ICPDeferred</t>
        </is>
      </c>
      <c r="D29" s="243" t="inlineStr">
        <is>
          <t>Custom Groovy</t>
        </is>
      </c>
      <c r="E29" s="228" t="inlineStr">
        <is>
          <t>S3</t>
        </is>
      </c>
      <c r="F29" s="149" t="inlineStr">
        <is>
          <t>WF-76</t>
        </is>
      </c>
      <c r="G29" s="149" t="inlineStr">
        <is>
          <t>Deferred_CY = ICP_InYear × Deferred_Pct. Deferred_PY_Compound = Deferred_PY_Balance × (1 + Total_Fund_RoR). Total_Deferred = CY + PY_Compounded.</t>
        </is>
      </c>
      <c r="H29" s="149" t="inlineStr">
        <is>
          <t>Position, Year</t>
        </is>
      </c>
      <c r="I29" s="149" t="inlineStr">
        <is>
          <t>ICP_InYear_Gross + PY Deferred balances + RoR</t>
        </is>
      </c>
      <c r="J29" s="149" t="inlineStr">
        <is>
          <t>ICP_Deferred_CY + ICP_Deferred_PY accounts</t>
        </is>
      </c>
      <c r="K29" s="149" t="inlineStr">
        <is>
          <t>Prior year balances carried from actuals history</t>
        </is>
      </c>
    </row>
    <row r="30" ht="46" customHeight="1">
      <c r="A30" s="151" t="n">
        <v>21</v>
      </c>
      <c r="B30" s="151" t="inlineStr">
        <is>
          <t>ICP</t>
        </is>
      </c>
      <c r="C30" s="226" t="inlineStr">
        <is>
          <t>CUST_ICPSensitivity</t>
        </is>
      </c>
      <c r="D30" s="244" t="inlineStr">
        <is>
          <t>Custom Groovy</t>
        </is>
      </c>
      <c r="E30" s="211" t="inlineStr">
        <is>
          <t>S3</t>
        </is>
      </c>
      <c r="F30" s="151" t="inlineStr">
        <is>
          <t>WF-ADV-01</t>
        </is>
      </c>
      <c r="G30" s="151" t="inlineStr">
        <is>
          <t>Creates sensitivity scenarios: ICP_Sensitivity[Δ] = ICP_Base × (1 + RoR_Δ/100). Range: ±5%, ±10%, ±15%. Outputs delta table.</t>
        </is>
      </c>
      <c r="H30" s="151" t="inlineStr">
        <is>
          <t>Position, Scenario</t>
        </is>
      </c>
      <c r="I30" s="151" t="inlineStr">
        <is>
          <t>ICP_InYear_Gross + RoR assumption</t>
        </is>
      </c>
      <c r="J30" s="151" t="inlineStr">
        <is>
          <t>ICP_Sensitivity_Table</t>
        </is>
      </c>
      <c r="K30" s="151" t="inlineStr">
        <is>
          <t>Sensitivity stored in What-If scenarios, not polluting Working version</t>
        </is>
      </c>
    </row>
    <row r="31" ht="17" customHeight="1">
      <c r="A31" s="256" t="inlineStr">
        <is>
          <t xml:space="preserve">  ── VDIP (1 rules) ──</t>
        </is>
      </c>
    </row>
    <row r="32" ht="46" customHeight="1">
      <c r="A32" s="149" t="n">
        <v>22</v>
      </c>
      <c r="B32" s="149" t="inlineStr">
        <is>
          <t>VDIP</t>
        </is>
      </c>
      <c r="C32" s="257" t="inlineStr">
        <is>
          <t>CUST_VDIPCalc</t>
        </is>
      </c>
      <c r="D32" s="243" t="inlineStr">
        <is>
          <t>Custom Groovy</t>
        </is>
      </c>
      <c r="E32" s="228" t="inlineStr">
        <is>
          <t>S3</t>
        </is>
      </c>
      <c r="F32" s="149" t="inlineStr">
        <is>
          <t>WF-77</t>
        </is>
      </c>
      <c r="G32" s="149" t="inlineStr">
        <is>
          <t>Fund_VDIP_InYear = ICP_InYear × VDIP_Pct. Compound: VDIP_Balance_t = VDIP_Balance_(t-1) × (1+Fund_RoR) + VDIP_InYear_t. Multiple vintages tracked.</t>
        </is>
      </c>
      <c r="H32" s="149" t="inlineStr">
        <is>
          <t>Position, Year</t>
        </is>
      </c>
      <c r="I32" s="149" t="inlineStr">
        <is>
          <t>ICP_InYear + VDIP_Pct + Fund_RoR</t>
        </is>
      </c>
      <c r="J32" s="149" t="inlineStr">
        <is>
          <t>VDIP_2022/2023/2024 vintage accounts</t>
        </is>
      </c>
      <c r="K32" s="149" t="inlineStr">
        <is>
          <t>Payout year: VDIP_Balance at vest date released to payout account</t>
        </is>
      </c>
    </row>
    <row r="33" ht="17" customHeight="1">
      <c r="A33" s="258" t="inlineStr">
        <is>
          <t xml:space="preserve">  ── LOCATION-SPECIFIC (4 rules) ──</t>
        </is>
      </c>
    </row>
    <row r="34" ht="46" customHeight="1">
      <c r="A34" s="151" t="n">
        <v>23</v>
      </c>
      <c r="B34" s="151" t="inlineStr">
        <is>
          <t>Location-Specific</t>
        </is>
      </c>
      <c r="C34" s="259" t="inlineStr">
        <is>
          <t>CUST_HKHousingAllowance</t>
        </is>
      </c>
      <c r="D34" s="244" t="inlineStr">
        <is>
          <t>Custom Groovy</t>
        </is>
      </c>
      <c r="E34" s="211" t="inlineStr">
        <is>
          <t>S3</t>
        </is>
      </c>
      <c r="F34" s="151" t="inlineStr">
        <is>
          <t>WF-73</t>
        </is>
      </c>
      <c r="G34" s="151" t="inlineStr">
        <is>
          <t>IF Location=HK AND Worker_Type=Regular_FTE AND Position_Status != New_Hire THEN HK_Housing = Fixed_HK_Rate. Excludes new hires and open positions.</t>
        </is>
      </c>
      <c r="H34" s="151" t="inlineStr">
        <is>
          <t>Position, Location, Worker_Type</t>
        </is>
      </c>
      <c r="I34" s="151" t="inlineStr">
        <is>
          <t>HK_Rate assumption table</t>
        </is>
      </c>
      <c r="J34" s="151" t="inlineStr">
        <is>
          <t>HK_Housing_Allowance account</t>
        </is>
      </c>
      <c r="K34" s="151" t="inlineStr">
        <is>
          <t>Fixed rate — not salary-indexed. New hires ineligible going forward</t>
        </is>
      </c>
    </row>
    <row r="35" ht="46" customHeight="1">
      <c r="A35" s="149" t="n">
        <v>24</v>
      </c>
      <c r="B35" s="149" t="inlineStr">
        <is>
          <t>Location-Specific</t>
        </is>
      </c>
      <c r="C35" s="260" t="inlineStr">
        <is>
          <t>CUST_BRLStatutory</t>
        </is>
      </c>
      <c r="D35" s="243" t="inlineStr">
        <is>
          <t>Custom Groovy</t>
        </is>
      </c>
      <c r="E35" s="228" t="inlineStr">
        <is>
          <t>S3</t>
        </is>
      </c>
      <c r="F35" s="149" t="inlineStr">
        <is>
          <t>WF-73</t>
        </is>
      </c>
      <c r="G35" s="149" t="inlineStr">
        <is>
          <t>BRL_13th_Month = BRL_Monthly_Salary (one extra month). Vacation_Bonus = BRL_Monthly_Salary × (1/3). Applied to all BRL Worker_Type = Regular_FTE.</t>
        </is>
      </c>
      <c r="H35" s="149" t="inlineStr">
        <is>
          <t>Position, Location</t>
        </is>
      </c>
      <c r="I35" s="149" t="inlineStr">
        <is>
          <t>BRL Monthly Salary</t>
        </is>
      </c>
      <c r="J35" s="149" t="inlineStr">
        <is>
          <t>BRL_13th_Month + BRL_Vacation_Bonus accounts</t>
        </is>
      </c>
      <c r="K35" s="149" t="inlineStr">
        <is>
          <t>Statutory requirement — all BRL positions must have these calculated</t>
        </is>
      </c>
    </row>
    <row r="36" ht="46" customHeight="1">
      <c r="A36" s="151" t="n">
        <v>25</v>
      </c>
      <c r="B36" s="151" t="inlineStr">
        <is>
          <t>Location-Specific</t>
        </is>
      </c>
      <c r="C36" s="259" t="inlineStr">
        <is>
          <t>CUST_BRLStatutoryICP</t>
        </is>
      </c>
      <c r="D36" s="244" t="inlineStr">
        <is>
          <t>Custom Groovy</t>
        </is>
      </c>
      <c r="E36" s="211" t="inlineStr">
        <is>
          <t>S3</t>
        </is>
      </c>
      <c r="F36" s="151" t="inlineStr">
        <is>
          <t>WF-78</t>
        </is>
      </c>
      <c r="G36" s="151" t="inlineStr">
        <is>
          <t>BRL_ICP_13th = ICP_InYear / 12. BRL_ICP_Deferred_Vacation = Deferred_ICP × (1/3). Applies only to Location=BRL positions.</t>
        </is>
      </c>
      <c r="H36" s="151" t="inlineStr">
        <is>
          <t>Position, Location</t>
        </is>
      </c>
      <c r="I36" s="151" t="inlineStr">
        <is>
          <t>ICP_InYear_Gross + Deferred_ICP</t>
        </is>
      </c>
      <c r="J36" s="151" t="inlineStr">
        <is>
          <t>BRL_ICP_Statutory account</t>
        </is>
      </c>
      <c r="K36" s="151" t="inlineStr">
        <is>
          <t>Combined with CUST_BRLStatutory for total BRL statutory cost view</t>
        </is>
      </c>
    </row>
    <row r="37" ht="17" customHeight="1">
      <c r="A37" s="261" t="inlineStr">
        <is>
          <t xml:space="preserve">  ── FX (1 rules) ──</t>
        </is>
      </c>
    </row>
    <row r="38" ht="46" customHeight="1">
      <c r="A38" s="149" t="n">
        <v>26</v>
      </c>
      <c r="B38" s="149" t="inlineStr">
        <is>
          <t>FX</t>
        </is>
      </c>
      <c r="C38" s="262" t="inlineStr">
        <is>
          <t>CUST_FXTranslation</t>
        </is>
      </c>
      <c r="D38" s="243" t="inlineStr">
        <is>
          <t>Custom Groovy</t>
        </is>
      </c>
      <c r="E38" s="228" t="inlineStr">
        <is>
          <t>S3</t>
        </is>
      </c>
      <c r="F38" s="149" t="inlineStr">
        <is>
          <t>WF-79</t>
        </is>
      </c>
      <c r="G38" s="149" t="inlineStr">
        <is>
          <t>CAD_Amount = Local_Amount × FX_Rate[Currency, FY, Annual_Avg]. Applied after all local currency calcs complete.</t>
        </is>
      </c>
      <c r="H38" s="149" t="inlineStr">
        <is>
          <t>Position, Location, Currency</t>
        </is>
      </c>
      <c r="I38" s="149" t="inlineStr">
        <is>
          <t>FX_Rates table (annual avg)</t>
        </is>
      </c>
      <c r="J38" s="149" t="inlineStr">
        <is>
          <t>All account members — CAD reporting view</t>
        </is>
      </c>
      <c r="K38" s="149" t="inlineStr">
        <is>
          <t>Local and CAD views both stored — toggle in Smart View/Dashboard</t>
        </is>
      </c>
    </row>
    <row r="39" ht="17" customHeight="1">
      <c r="A39" s="263" t="inlineStr">
        <is>
          <t xml:space="preserve">  ── INTERNATIONAL (1 rules) ──</t>
        </is>
      </c>
    </row>
    <row r="40" ht="46" customHeight="1">
      <c r="A40" s="151" t="n">
        <v>27</v>
      </c>
      <c r="B40" s="151" t="inlineStr">
        <is>
          <t>International</t>
        </is>
      </c>
      <c r="C40" s="264" t="inlineStr">
        <is>
          <t>CUST_IntlAssignmentCalc</t>
        </is>
      </c>
      <c r="D40" s="244" t="inlineStr">
        <is>
          <t>Custom Groovy</t>
        </is>
      </c>
      <c r="E40" s="211" t="inlineStr">
        <is>
          <t>S3</t>
        </is>
      </c>
      <c r="F40" s="151" t="inlineStr">
        <is>
          <t>WF-90</t>
        </is>
      </c>
      <c r="G40" s="151" t="inlineStr">
        <is>
          <t>IF Intl_Assignment_Flag = Y AND Home_Entity ≠ Host_Entity: split cost between home/host per assignment agreement. Apply Host_Currency FX for local costs.</t>
        </is>
      </c>
      <c r="H40" s="151" t="inlineStr">
        <is>
          <t>Position, Legal_Entity, Location</t>
        </is>
      </c>
      <c r="I40" s="151" t="inlineStr">
        <is>
          <t>Assignment agreement table + Intl_Assignment_Flag</t>
        </is>
      </c>
      <c r="J40" s="151" t="inlineStr">
        <is>
          <t>Home_CC_Cost + Host_CC_Cost accounts</t>
        </is>
      </c>
      <c r="K40" s="151" t="inlineStr">
        <is>
          <t>Short-term/Long-term/Secondment assignment types have different split rules</t>
        </is>
      </c>
    </row>
    <row r="41" ht="17" customHeight="1">
      <c r="A41" s="258" t="inlineStr">
        <is>
          <t xml:space="preserve">  ── LOCATION-SPECIFIC (4 rules) ──</t>
        </is>
      </c>
    </row>
    <row r="42" ht="46" customHeight="1">
      <c r="A42" s="149" t="n">
        <v>28</v>
      </c>
      <c r="B42" s="149" t="inlineStr">
        <is>
          <t>Location-Specific</t>
        </is>
      </c>
      <c r="C42" s="260" t="inlineStr">
        <is>
          <t>CUST_MumbaiCostMapping</t>
        </is>
      </c>
      <c r="D42" s="243" t="inlineStr">
        <is>
          <t>Custom Groovy</t>
        </is>
      </c>
      <c r="E42" s="228" t="inlineStr">
        <is>
          <t>S3</t>
        </is>
      </c>
      <c r="F42" s="149" t="inlineStr">
        <is>
          <t>WF-91</t>
        </is>
      </c>
      <c r="G42" s="149" t="inlineStr">
        <is>
          <t>Maps Mumbai-specific statutory salary/benefit components to correct Oracle accounts: PF→Benefits_Statutory, Gratuity→Benefits_LongTerm, Prof_Tax→Employer_Taxes.</t>
        </is>
      </c>
      <c r="H42" s="149" t="inlineStr">
        <is>
          <t>Position, Location</t>
        </is>
      </c>
      <c r="I42" s="149" t="inlineStr">
        <is>
          <t>Mumbai_Cost_Category_Mapping table</t>
        </is>
      </c>
      <c r="J42" s="149" t="inlineStr">
        <is>
          <t>Mumbai-specific account members</t>
        </is>
      </c>
      <c r="K42" s="149" t="inlineStr">
        <is>
          <t>Reconciles to GL account mapping for statutory reporting</t>
        </is>
      </c>
    </row>
    <row r="43" ht="17" customHeight="1">
      <c r="A43" s="265" t="inlineStr">
        <is>
          <t xml:space="preserve">  ── HC DRIVERS (5 rules) ──</t>
        </is>
      </c>
    </row>
    <row r="44" ht="46" customHeight="1">
      <c r="A44" s="151" t="n">
        <v>29</v>
      </c>
      <c r="B44" s="151" t="inlineStr">
        <is>
          <t>HC Drivers</t>
        </is>
      </c>
      <c r="C44" s="266" t="inlineStr">
        <is>
          <t>CUST_VacancyCalc</t>
        </is>
      </c>
      <c r="D44" s="244" t="inlineStr">
        <is>
          <t>Custom Groovy</t>
        </is>
      </c>
      <c r="E44" s="211" t="inlineStr">
        <is>
          <t>S3</t>
        </is>
      </c>
      <c r="F44" s="151" t="inlineStr">
        <is>
          <t>WF-42</t>
        </is>
      </c>
      <c r="G44" s="151" t="inlineStr">
        <is>
          <t>Vacancy = Approved_HC − Filled_HC per position per period. Vacancy_Rate = Vacancy / Approved_HC. Based on position status, not flat rate.</t>
        </is>
      </c>
      <c r="H44" s="151" t="inlineStr">
        <is>
          <t>Position, Period</t>
        </is>
      </c>
      <c r="I44" s="151" t="inlineStr">
        <is>
          <t>Position_Status</t>
        </is>
      </c>
      <c r="J44" s="151" t="inlineStr">
        <is>
          <t>Vacancy_HC + Vacancy_Rate accounts</t>
        </is>
      </c>
      <c r="K44" s="151" t="inlineStr">
        <is>
          <t>WF-44: turnover applied to filled positions only, not already-vacant</t>
        </is>
      </c>
    </row>
    <row r="45" ht="46" customHeight="1">
      <c r="A45" s="149" t="n">
        <v>30</v>
      </c>
      <c r="B45" s="149" t="inlineStr">
        <is>
          <t>HC Drivers</t>
        </is>
      </c>
      <c r="C45" s="267" t="inlineStr">
        <is>
          <t>CUST_VacancyDecomposed</t>
        </is>
      </c>
      <c r="D45" s="243" t="inlineStr">
        <is>
          <t>Custom Groovy</t>
        </is>
      </c>
      <c r="E45" s="228" t="inlineStr">
        <is>
          <t>S3</t>
        </is>
      </c>
      <c r="F45" s="149" t="inlineStr">
        <is>
          <t>WF-43</t>
        </is>
      </c>
      <c r="G45" s="149" t="inlineStr">
        <is>
          <t>Turnover_Vacancy_Months = Σ(days_vacant_post_departure/period_days). Pipeline_Vacancy_Months = Σ(days_unfilled_approved/period_days). Vacancy_Savings = AMS × Total_Vacancy_Months.</t>
        </is>
      </c>
      <c r="H45" s="149" t="inlineStr">
        <is>
          <t>Position, Period</t>
        </is>
      </c>
      <c r="I45" s="149" t="inlineStr">
        <is>
          <t>Turnover events + Hiring pipeline</t>
        </is>
      </c>
      <c r="J45" s="149" t="inlineStr">
        <is>
          <t>Vacancy_Months_Turnover + Vacancy_Months_Pipeline + Vacancy_Savings accounts</t>
        </is>
      </c>
      <c r="K45" s="149" t="inlineStr">
        <is>
          <t>Drill-through from total vacancy to component detail</t>
        </is>
      </c>
    </row>
    <row r="46" ht="46" customHeight="1">
      <c r="A46" s="151" t="n">
        <v>31</v>
      </c>
      <c r="B46" s="151" t="inlineStr">
        <is>
          <t>HC Drivers</t>
        </is>
      </c>
      <c r="C46" s="266" t="inlineStr">
        <is>
          <t>CUST_TurnoverCalc</t>
        </is>
      </c>
      <c r="D46" s="244" t="inlineStr">
        <is>
          <t>Custom Groovy</t>
        </is>
      </c>
      <c r="E46" s="211" t="inlineStr">
        <is>
          <t>S3</t>
        </is>
      </c>
      <c r="F46" s="151" t="inlineStr">
        <is>
          <t>WF-44</t>
        </is>
      </c>
      <c r="G46" s="151" t="inlineStr">
        <is>
          <t>IF Position_Status = Filled THEN apply Turnover_Rate[Dept, Worker_Type]. IF Status = Unfilled THEN Turnover = 0. Turnover only fires on occupied seats.</t>
        </is>
      </c>
      <c r="H46" s="151" t="inlineStr">
        <is>
          <t>Position, Dept, Worker_Type</t>
        </is>
      </c>
      <c r="I46" s="151" t="inlineStr">
        <is>
          <t>Turnover_Rate driver table (Talent DP)</t>
        </is>
      </c>
      <c r="J46" s="151" t="inlineStr">
        <is>
          <t>Turnover_Events account</t>
        </is>
      </c>
      <c r="K46" s="151" t="inlineStr">
        <is>
          <t>Distinguishes turnover (replaced) vs attrition (WF-45, not replaced)</t>
        </is>
      </c>
    </row>
    <row r="47" ht="46" customHeight="1">
      <c r="A47" s="149" t="n">
        <v>32</v>
      </c>
      <c r="B47" s="149" t="inlineStr">
        <is>
          <t>HC Drivers</t>
        </is>
      </c>
      <c r="C47" s="267" t="inlineStr">
        <is>
          <t>CUST_AttritionCalc</t>
        </is>
      </c>
      <c r="D47" s="243" t="inlineStr">
        <is>
          <t>Custom Groovy</t>
        </is>
      </c>
      <c r="E47" s="216" t="inlineStr">
        <is>
          <t>S4</t>
        </is>
      </c>
      <c r="F47" s="149" t="inlineStr">
        <is>
          <t>WF-45</t>
        </is>
      </c>
      <c r="G47" s="149" t="inlineStr">
        <is>
          <t>IF Attrition_Flag = Y: Position_Status → Closed_Attrition; HC decremented from effective month; cost zeroed from effective month. Position member retained for history.</t>
        </is>
      </c>
      <c r="H47" s="149" t="inlineStr">
        <is>
          <t>Position, Period</t>
        </is>
      </c>
      <c r="I47" s="149" t="inlineStr">
        <is>
          <t>Attrition_Flag + Effective_Attrition_Date</t>
        </is>
      </c>
      <c r="J47" s="149" t="inlineStr">
        <is>
          <t>HC_Count + all comp accounts</t>
        </is>
      </c>
      <c r="K47" s="149" t="inlineStr">
        <is>
          <t>Separate from Turnover — attrition = intentional non-replacement</t>
        </is>
      </c>
    </row>
    <row r="48" ht="46" customHeight="1">
      <c r="A48" s="151" t="n">
        <v>33</v>
      </c>
      <c r="B48" s="151" t="inlineStr">
        <is>
          <t>HC Drivers</t>
        </is>
      </c>
      <c r="C48" s="266" t="inlineStr">
        <is>
          <t>CUST_DoubleOccupancyCheck</t>
        </is>
      </c>
      <c r="D48" s="244" t="inlineStr">
        <is>
          <t>Custom Groovy</t>
        </is>
      </c>
      <c r="E48" s="211" t="inlineStr">
        <is>
          <t>S3</t>
        </is>
      </c>
      <c r="F48" s="151" t="inlineStr">
        <is>
          <t>WF-50</t>
        </is>
      </c>
      <c r="G48" s="151" t="inlineStr">
        <is>
          <t>IF Double_Occupancy_Flag = Y: HC_Count capped at 1 for FTE metric; comp calc sums BOTH employee salaries for cost period. Supporting detail logs both Employee_IDs.</t>
        </is>
      </c>
      <c r="H48" s="151" t="inlineStr">
        <is>
          <t>Position</t>
        </is>
      </c>
      <c r="I48" s="151" t="inlineStr">
        <is>
          <t>Double_Occupancy_Flag attribute</t>
        </is>
      </c>
      <c r="J48" s="151" t="inlineStr">
        <is>
          <t>HC_Count (capped) + Total_Comp (both employees)</t>
        </is>
      </c>
      <c r="K48" s="151" t="inlineStr">
        <is>
          <t>Prevents HC overcount while correctly capturing full cost</t>
        </is>
      </c>
    </row>
    <row r="49" ht="17" customHeight="1">
      <c r="A49" s="268" t="inlineStr">
        <is>
          <t xml:space="preserve">  ── POSITION LIFECYCLE (4 rules) ──</t>
        </is>
      </c>
    </row>
    <row r="50" ht="46" customHeight="1">
      <c r="A50" s="149" t="n">
        <v>34</v>
      </c>
      <c r="B50" s="149" t="inlineStr">
        <is>
          <t>Position Lifecycle</t>
        </is>
      </c>
      <c r="C50" s="233" t="inlineStr">
        <is>
          <t>CUST_TerminationLogic</t>
        </is>
      </c>
      <c r="D50" s="243" t="inlineStr">
        <is>
          <t>Custom Groovy</t>
        </is>
      </c>
      <c r="E50" s="216" t="inlineStr">
        <is>
          <t>S4</t>
        </is>
      </c>
      <c r="F50" s="149" t="inlineStr">
        <is>
          <t>WF-82</t>
        </is>
      </c>
      <c r="G50" s="149" t="inlineStr">
        <is>
          <t>Input: Position_ID + Effective_Term_Month. Zeroes all comp from effective month onward. Severance = Base_Salary × Sev_Weeks/52 in effective month. FTE decremented.</t>
        </is>
      </c>
      <c r="H50" s="149" t="inlineStr">
        <is>
          <t>Position, Period</t>
        </is>
      </c>
      <c r="I50" s="149" t="inlineStr">
        <is>
          <t>Effective_Term_Date + Severance_Policy table</t>
        </is>
      </c>
      <c r="J50" s="149" t="inlineStr">
        <is>
          <t>Comp accounts (zeroed) + Severance account</t>
        </is>
      </c>
      <c r="K50" s="149" t="inlineStr">
        <is>
          <t>Position status → Filled_to_Vacant; position retained in hierarchy</t>
        </is>
      </c>
    </row>
    <row r="51" ht="46" customHeight="1">
      <c r="A51" s="151" t="n">
        <v>35</v>
      </c>
      <c r="B51" s="151" t="inlineStr">
        <is>
          <t>Position Lifecycle</t>
        </is>
      </c>
      <c r="C51" s="234" t="inlineStr">
        <is>
          <t>CUST_CCTransfer</t>
        </is>
      </c>
      <c r="D51" s="244" t="inlineStr">
        <is>
          <t>Custom Groovy</t>
        </is>
      </c>
      <c r="E51" s="217" t="inlineStr">
        <is>
          <t>S4</t>
        </is>
      </c>
      <c r="F51" s="151" t="inlineStr">
        <is>
          <t>WF-80</t>
        </is>
      </c>
      <c r="G51" s="151" t="inlineStr">
        <is>
          <t>Moves Employee_ID linkage from old_CC to new_CC effective from Transfer_Month. No approval gate required. HC counts updated in both CCs immediately.</t>
        </is>
      </c>
      <c r="H51" s="151" t="inlineStr">
        <is>
          <t>Position, Entity, Dept</t>
        </is>
      </c>
      <c r="I51" s="151" t="inlineStr">
        <is>
          <t>Transfer_Form input (old CC, new CC, effective date)</t>
        </is>
      </c>
      <c r="J51" s="151" t="inlineStr">
        <is>
          <t>Position_CC attribute + HC_Count in both CCs</t>
        </is>
      </c>
      <c r="K51" s="151" t="inlineStr">
        <is>
          <t>Audit log: transfer batch recorded with date, old CC, new CC, user</t>
        </is>
      </c>
    </row>
    <row r="52" ht="46" customHeight="1">
      <c r="A52" s="149" t="n">
        <v>36</v>
      </c>
      <c r="B52" s="149" t="inlineStr">
        <is>
          <t>Position Lifecycle</t>
        </is>
      </c>
      <c r="C52" s="233" t="inlineStr">
        <is>
          <t>CUST_EffectiveDateCalc</t>
        </is>
      </c>
      <c r="D52" s="243" t="inlineStr">
        <is>
          <t>Custom Groovy</t>
        </is>
      </c>
      <c r="E52" s="216" t="inlineStr">
        <is>
          <t>S4</t>
        </is>
      </c>
      <c r="F52" s="149" t="inlineStr">
        <is>
          <t>WF-54</t>
        </is>
      </c>
      <c r="G52" s="149" t="inlineStr">
        <is>
          <t>Prorate cost from effective month for movements (transfer, promotion, departure). CUST_MovementAnalysis: waterfall — Opening + New + Transfers_In − Transfers_Out + Promotions − Departures = Closing.</t>
        </is>
      </c>
      <c r="H52" s="149" t="inlineStr">
        <is>
          <t>Position, Period</t>
        </is>
      </c>
      <c r="I52" s="149" t="inlineStr">
        <is>
          <t>Effective_Date attribute on all movements</t>
        </is>
      </c>
      <c r="J52" s="149" t="inlineStr">
        <is>
          <t>Movement_Type accounts + HC waterfall accounts</t>
        </is>
      </c>
      <c r="K52" s="149" t="inlineStr">
        <is>
          <t>Full movement audit trail per position per period</t>
        </is>
      </c>
    </row>
    <row r="53" ht="17" customHeight="1">
      <c r="A53" s="3" t="inlineStr">
        <is>
          <t xml:space="preserve">  ── VERSION CONTROL (2 rules) ──</t>
        </is>
      </c>
    </row>
    <row r="54" ht="46" customHeight="1">
      <c r="A54" s="151" t="n">
        <v>37</v>
      </c>
      <c r="B54" s="151" t="inlineStr">
        <is>
          <t>Version Control</t>
        </is>
      </c>
      <c r="C54" s="184" t="inlineStr">
        <is>
          <t>CUST_VersionLock</t>
        </is>
      </c>
      <c r="D54" s="244" t="inlineStr">
        <is>
          <t>Custom Groovy</t>
        </is>
      </c>
      <c r="E54" s="207" t="inlineStr">
        <is>
          <t>S1</t>
        </is>
      </c>
      <c r="F54" s="151" t="inlineStr">
        <is>
          <t>WF-02</t>
        </is>
      </c>
      <c r="G54" s="151" t="inlineStr">
        <is>
          <t>Checks Version_Status before allowing write. IF Status = Approved OR Status = Final THEN reject write; prompt for change request. Top-of-house approval required to unlock.</t>
        </is>
      </c>
      <c r="H54" s="151" t="inlineStr">
        <is>
          <t>Version</t>
        </is>
      </c>
      <c r="I54" s="151" t="inlineStr">
        <is>
          <t>Version_Status attribute</t>
        </is>
      </c>
      <c r="J54" s="151" t="inlineStr">
        <is>
          <t>Version_Status account</t>
        </is>
      </c>
      <c r="K54" s="151" t="inlineStr">
        <is>
          <t>Enforced on all Groovy rule writes and form submissions</t>
        </is>
      </c>
    </row>
    <row r="55" ht="46" customHeight="1">
      <c r="A55" s="149" t="n">
        <v>38</v>
      </c>
      <c r="B55" s="149" t="inlineStr">
        <is>
          <t>Version Control</t>
        </is>
      </c>
      <c r="C55" s="186" t="inlineStr">
        <is>
          <t>CUST_VersionPromotion</t>
        </is>
      </c>
      <c r="D55" s="243" t="inlineStr">
        <is>
          <t>Custom Groovy</t>
        </is>
      </c>
      <c r="E55" s="210" t="inlineStr">
        <is>
          <t>S1</t>
        </is>
      </c>
      <c r="F55" s="149" t="inlineStr">
        <is>
          <t>WF-41</t>
        </is>
      </c>
      <c r="G55" s="149" t="inlineStr">
        <is>
          <t>Copies Working version data to Draft or Final on promotion event. Enforces stage progression: Baseline→Working→Draft→Final. Logs promotion with timestamp and approver.</t>
        </is>
      </c>
      <c r="H55" s="149" t="inlineStr">
        <is>
          <t>Version, All</t>
        </is>
      </c>
      <c r="I55" s="149" t="inlineStr">
        <is>
          <t>Working version data</t>
        </is>
      </c>
      <c r="J55" s="149" t="inlineStr">
        <is>
          <t>Target version (Draft/Final)</t>
        </is>
      </c>
      <c r="K55" s="149" t="inlineStr">
        <is>
          <t>What-If to permanent: CUST_WhatIfPromote copies selected WhatIf to named version</t>
        </is>
      </c>
    </row>
    <row r="56" ht="17" customHeight="1">
      <c r="A56" s="269" t="inlineStr">
        <is>
          <t xml:space="preserve">  ── DATA QUALITY (2 rules) ──</t>
        </is>
      </c>
    </row>
    <row r="57" ht="46" customHeight="1">
      <c r="A57" s="151" t="n">
        <v>39</v>
      </c>
      <c r="B57" s="151" t="inlineStr">
        <is>
          <t>Data Quality</t>
        </is>
      </c>
      <c r="C57" s="270" t="inlineStr">
        <is>
          <t>CUST_DataValidation</t>
        </is>
      </c>
      <c r="D57" s="244" t="inlineStr">
        <is>
          <t>Custom Groovy</t>
        </is>
      </c>
      <c r="E57" s="209" t="inlineStr">
        <is>
          <t>S2</t>
        </is>
      </c>
      <c r="F57" s="151" t="inlineStr">
        <is>
          <t>WF-11, WF-16</t>
        </is>
      </c>
      <c r="G57" s="151" t="inlineStr">
        <is>
          <t>Post-load integrity check: validates CC_Location_Matrix, Job_Grade_Workday_Match, Position_Employee_Link. Flags invalid combos. All-or-nothing: if P1 errors found, marks load as failed.</t>
        </is>
      </c>
      <c r="H57" s="151" t="inlineStr">
        <is>
          <t>All loaded dimensions</t>
        </is>
      </c>
      <c r="I57" s="151" t="inlineStr">
        <is>
          <t>EPM DM load output</t>
        </is>
      </c>
      <c r="J57" s="151" t="inlineStr">
        <is>
          <t>Validation_Status + Error_Log accounts</t>
        </is>
      </c>
      <c r="K57" s="151" t="inlineStr">
        <is>
          <t>Error report auto-generated and emailed to Data_Ops team</t>
        </is>
      </c>
    </row>
    <row r="58" ht="46" customHeight="1">
      <c r="A58" s="149" t="n">
        <v>40</v>
      </c>
      <c r="B58" s="149" t="inlineStr">
        <is>
          <t>Data Quality</t>
        </is>
      </c>
      <c r="C58" s="271" t="inlineStr">
        <is>
          <t>CUST_DataSourceTag</t>
        </is>
      </c>
      <c r="D58" s="243" t="inlineStr">
        <is>
          <t>Custom Groovy</t>
        </is>
      </c>
      <c r="E58" s="212" t="inlineStr">
        <is>
          <t>S2</t>
        </is>
      </c>
      <c r="F58" s="149" t="inlineStr">
        <is>
          <t>WF-14</t>
        </is>
      </c>
      <c r="G58" s="149" t="inlineStr">
        <is>
          <t>Tags each loaded data cell with Data_Source: Workday / PeopleFluent / Talent_DP / GL_ERP / Manual. Manual overrides flagged distinctly.</t>
        </is>
      </c>
      <c r="H58" s="149" t="inlineStr">
        <is>
          <t>All</t>
        </is>
      </c>
      <c r="I58" s="149" t="inlineStr">
        <is>
          <t>Load job metadata</t>
        </is>
      </c>
      <c r="J58" s="149" t="inlineStr">
        <is>
          <t>Data_Source attribute on all accounts</t>
        </is>
      </c>
      <c r="K58" s="149" t="inlineStr">
        <is>
          <t>Enables traceability reports showing source breakdown by account</t>
        </is>
      </c>
    </row>
    <row r="59" ht="17" customHeight="1">
      <c r="A59" s="272" t="inlineStr">
        <is>
          <t xml:space="preserve">  ── REPORTING (7 rules) ──</t>
        </is>
      </c>
    </row>
    <row r="60" ht="46" customHeight="1">
      <c r="A60" s="151" t="n">
        <v>41</v>
      </c>
      <c r="B60" s="151" t="inlineStr">
        <is>
          <t>Reporting</t>
        </is>
      </c>
      <c r="C60" s="273" t="inlineStr">
        <is>
          <t>CUST_AvgSalaryByMatrix</t>
        </is>
      </c>
      <c r="D60" s="244" t="inlineStr">
        <is>
          <t>Custom Groovy</t>
        </is>
      </c>
      <c r="E60" s="209" t="inlineStr">
        <is>
          <t>S2</t>
        </is>
      </c>
      <c r="F60" s="151" t="inlineStr">
        <is>
          <t>WF-65</t>
        </is>
      </c>
      <c r="G60" s="151" t="inlineStr">
        <is>
          <t>Computes AVG(Annual_Salary) by [Sub_Dept, Location, Role, Grade] from Talent DP actual salary load. Consolidated at Role level. Stored to AMS_Matrix assumption table.</t>
        </is>
      </c>
      <c r="H60" s="151" t="inlineStr">
        <is>
          <t>Sub_Dept, Location, Job, Grade</t>
        </is>
      </c>
      <c r="I60" s="151" t="inlineStr">
        <is>
          <t>Talent Data Product actual salary</t>
        </is>
      </c>
      <c r="J60" s="151" t="inlineStr">
        <is>
          <t>AMS_Matrix table (used by CR-08/09)</t>
        </is>
      </c>
      <c r="K60" s="151" t="inlineStr">
        <is>
          <t>Monthly refresh; used as basis for all base pay calcs</t>
        </is>
      </c>
    </row>
    <row r="61" ht="46" customHeight="1">
      <c r="A61" s="149" t="n">
        <v>42</v>
      </c>
      <c r="B61" s="149" t="inlineStr">
        <is>
          <t>Reporting</t>
        </is>
      </c>
      <c r="C61" s="274" t="inlineStr">
        <is>
          <t>CUST_WFPtoREP</t>
        </is>
      </c>
      <c r="D61" s="243" t="inlineStr">
        <is>
          <t>Custom Groovy</t>
        </is>
      </c>
      <c r="E61" s="216" t="inlineStr">
        <is>
          <t>S4</t>
        </is>
      </c>
      <c r="F61" s="149" t="inlineStr">
        <is>
          <t>WF-ADV-06, WF-95</t>
        </is>
      </c>
      <c r="G61" s="149" t="inlineStr">
        <is>
          <t>Copies approved WFP version to Reporting (REP WFP) cube. User-triggered: no BI team required. Dept-level scope: user selects dept, push runs for that dept only.</t>
        </is>
      </c>
      <c r="H61" s="149" t="inlineStr">
        <is>
          <t>All</t>
        </is>
      </c>
      <c r="I61" s="149" t="inlineStr">
        <is>
          <t>Approved WFP version data</t>
        </is>
      </c>
      <c r="J61" s="149" t="inlineStr">
        <is>
          <t>REP WFP cube target</t>
        </is>
      </c>
      <c r="K61" s="149" t="inlineStr">
        <is>
          <t>Confirmation report generated post-push; audit log: timestamp, user, dept, version</t>
        </is>
      </c>
    </row>
    <row r="62" ht="46" customHeight="1">
      <c r="A62" s="151" t="n">
        <v>43</v>
      </c>
      <c r="B62" s="151" t="inlineStr">
        <is>
          <t>Reporting</t>
        </is>
      </c>
      <c r="C62" s="273" t="inlineStr">
        <is>
          <t>CUST_WFPtoFS</t>
        </is>
      </c>
      <c r="D62" s="244" t="inlineStr">
        <is>
          <t>Custom Groovy</t>
        </is>
      </c>
      <c r="E62" s="217" t="inlineStr">
        <is>
          <t>S4</t>
        </is>
      </c>
      <c r="F62" s="151" t="inlineStr">
        <is>
          <t>WF-ADV-07</t>
        </is>
      </c>
      <c r="G62" s="151" t="inlineStr">
        <is>
          <t>Maps WFP Personnel accounts to FS module accounts. Validates WFP_Total = FS_Personnel_Total (WF-53) before write. User-triggered by dept. Reconciliation report auto-generated.</t>
        </is>
      </c>
      <c r="H62" s="151" t="inlineStr">
        <is>
          <t>Personnel accounts, CC, Period</t>
        </is>
      </c>
      <c r="I62" s="151" t="inlineStr">
        <is>
          <t>Approved WFP version</t>
        </is>
      </c>
      <c r="J62" s="151" t="inlineStr">
        <is>
          <t>FS module Personnel_Total accounts</t>
        </is>
      </c>
      <c r="K62" s="151" t="inlineStr">
        <is>
          <t>Push blocked if reconciliation fails — error displayed to user</t>
        </is>
      </c>
    </row>
    <row r="63" ht="46" customHeight="1">
      <c r="A63" s="149" t="n">
        <v>44</v>
      </c>
      <c r="B63" s="149" t="inlineStr">
        <is>
          <t>Reporting</t>
        </is>
      </c>
      <c r="C63" s="274" t="inlineStr">
        <is>
          <t>CUST_HierarchyReconcile</t>
        </is>
      </c>
      <c r="D63" s="243" t="inlineStr">
        <is>
          <t>Custom Groovy</t>
        </is>
      </c>
      <c r="E63" s="216" t="inlineStr">
        <is>
          <t>S4</t>
        </is>
      </c>
      <c r="F63" s="149" t="inlineStr">
        <is>
          <t>WF-32</t>
        </is>
      </c>
      <c r="G63" s="149" t="inlineStr">
        <is>
          <t>Validates Financial_View_Total = Management_View_Total per period per entity. Flags rounding or mapping gaps &gt; $1K.</t>
        </is>
      </c>
      <c r="H63" s="149" t="inlineStr">
        <is>
          <t>Account, Entity, Period</t>
        </is>
      </c>
      <c r="I63" s="149" t="inlineStr">
        <is>
          <t>Both hierarchy views</t>
        </is>
      </c>
      <c r="J63" s="149" t="inlineStr">
        <is>
          <t>Reconciliation_Gap account</t>
        </is>
      </c>
      <c r="K63" s="149" t="inlineStr">
        <is>
          <t>Nightly job; alert if gap found; blocks NR report generation until resolved</t>
        </is>
      </c>
    </row>
    <row r="64" ht="46" customHeight="1">
      <c r="A64" s="151" t="n">
        <v>45</v>
      </c>
      <c r="B64" s="151" t="inlineStr">
        <is>
          <t>Reporting</t>
        </is>
      </c>
      <c r="C64" s="273" t="inlineStr">
        <is>
          <t>CUST_WFPtoFSReconcile</t>
        </is>
      </c>
      <c r="D64" s="244" t="inlineStr">
        <is>
          <t>Custom Groovy</t>
        </is>
      </c>
      <c r="E64" s="217" t="inlineStr">
        <is>
          <t>S4</t>
        </is>
      </c>
      <c r="F64" s="151" t="inlineStr">
        <is>
          <t>WF-53</t>
        </is>
      </c>
      <c r="G64" s="151" t="inlineStr">
        <is>
          <t>Compares Personnel_Total in WFP cube vs FS cube. Outputs: WFP_Total, FS_Total, Difference, Tolerance_Flag (flag if &gt; $5K or &gt; 0.1%).</t>
        </is>
      </c>
      <c r="H64" s="151" t="inlineStr">
        <is>
          <t>Personnel accounts, Period</t>
        </is>
      </c>
      <c r="I64" s="151" t="inlineStr">
        <is>
          <t>WFP cube + FS cube</t>
        </is>
      </c>
      <c r="J64" s="151" t="inlineStr">
        <is>
          <t>Reconcile_Variance account</t>
        </is>
      </c>
      <c r="K64" s="151" t="inlineStr">
        <is>
          <t>Nightly automated check; dashboard tile: RAG status; escalation if P1 gap</t>
        </is>
      </c>
    </row>
    <row r="65" ht="46" customHeight="1">
      <c r="A65" s="149" t="n">
        <v>46</v>
      </c>
      <c r="B65" s="149" t="inlineStr">
        <is>
          <t>Reporting</t>
        </is>
      </c>
      <c r="C65" s="274" t="inlineStr">
        <is>
          <t>CUST_AuditReport</t>
        </is>
      </c>
      <c r="D65" s="243" t="inlineStr">
        <is>
          <t>Custom Groovy</t>
        </is>
      </c>
      <c r="E65" s="216" t="inlineStr">
        <is>
          <t>S4</t>
        </is>
      </c>
      <c r="F65" s="149" t="inlineStr">
        <is>
          <t>WF-03</t>
        </is>
      </c>
      <c r="G65" s="149" t="inlineStr">
        <is>
          <t>Compares Version_A vs Version_B at cell level, outputs delta with cell address, old value, new value, commentary if available. Used for period-over-period and version comparison.</t>
        </is>
      </c>
      <c r="H65" s="149" t="inlineStr">
        <is>
          <t>All</t>
        </is>
      </c>
      <c r="I65" s="149" t="inlineStr">
        <is>
          <t>Two specified versions</t>
        </is>
      </c>
      <c r="J65" s="149" t="inlineStr">
        <is>
          <t>Audit_Delta_Export (CSV)</t>
        </is>
      </c>
      <c r="K65" s="149" t="inlineStr">
        <is>
          <t>Weekly export to SharePoint for compliance; on-demand for ad-hoc audit requests</t>
        </is>
      </c>
    </row>
    <row r="66" ht="46" customHeight="1">
      <c r="A66" s="151" t="n">
        <v>47</v>
      </c>
      <c r="B66" s="151" t="inlineStr">
        <is>
          <t>Reporting</t>
        </is>
      </c>
      <c r="C66" s="273" t="inlineStr">
        <is>
          <t>CUST_MgmtReportClassify</t>
        </is>
      </c>
      <c r="D66" s="244" t="inlineStr">
        <is>
          <t>Custom Groovy</t>
        </is>
      </c>
      <c r="E66" s="217" t="inlineStr">
        <is>
          <t>S4</t>
        </is>
      </c>
      <c r="F66" s="151" t="inlineStr">
        <is>
          <t>WF-04</t>
        </is>
      </c>
      <c r="G66" s="151" t="inlineStr">
        <is>
          <t>Routes account members to Management_View hierarchy: Personnel / G&amp;A / ICP / Other. Separate from GL hierarchy. Validates Management_Total = Financial_Total.</t>
        </is>
      </c>
      <c r="H66" s="151" t="inlineStr">
        <is>
          <t>Account</t>
        </is>
      </c>
      <c r="I66" s="151" t="inlineStr">
        <is>
          <t>Account hierarchy</t>
        </is>
      </c>
      <c r="J66" s="151" t="inlineStr">
        <is>
          <t>Management_View_Account members</t>
        </is>
      </c>
      <c r="K66" s="151" t="inlineStr">
        <is>
          <t>No changes to GL accounts — management classification is alternate rollup only</t>
        </is>
      </c>
    </row>
    <row r="67" ht="17" customHeight="1">
      <c r="A67" s="275" t="inlineStr">
        <is>
          <t xml:space="preserve">  ── SCENARIOS (3 rules) ──</t>
        </is>
      </c>
    </row>
    <row r="68" ht="46" customHeight="1">
      <c r="A68" s="149" t="n">
        <v>48</v>
      </c>
      <c r="B68" s="149" t="inlineStr">
        <is>
          <t>Scenarios</t>
        </is>
      </c>
      <c r="C68" s="276" t="inlineStr">
        <is>
          <t>CUST_BaselineRefresh</t>
        </is>
      </c>
      <c r="D68" s="243" t="inlineStr">
        <is>
          <t>Custom Groovy</t>
        </is>
      </c>
      <c r="E68" s="212" t="inlineStr">
        <is>
          <t>S2</t>
        </is>
      </c>
      <c r="F68" s="149" t="inlineStr">
        <is>
          <t>WF-49</t>
        </is>
      </c>
      <c r="G68" s="149" t="inlineStr">
        <is>
          <t>Copies latest available Forecast version to Baseline version. Checks: Q3 available? Use Q3. Otherwise Q2. Governance: requires PMO approval before execution.</t>
        </is>
      </c>
      <c r="H68" s="149" t="inlineStr">
        <is>
          <t>All</t>
        </is>
      </c>
      <c r="I68" s="149" t="inlineStr">
        <is>
          <t>Latest Forecast version</t>
        </is>
      </c>
      <c r="J68" s="149" t="inlineStr">
        <is>
          <t>Baseline version</t>
        </is>
      </c>
      <c r="K68" s="149" t="inlineStr">
        <is>
          <t>Lock: Baseline locked once Annual Budget cycle opens — no further refresh</t>
        </is>
      </c>
    </row>
    <row r="69" ht="46" customHeight="1">
      <c r="A69" s="151" t="n">
        <v>49</v>
      </c>
      <c r="B69" s="151" t="inlineStr">
        <is>
          <t>Scenarios</t>
        </is>
      </c>
      <c r="C69" s="277" t="inlineStr">
        <is>
          <t>CUST_BaselineLock</t>
        </is>
      </c>
      <c r="D69" s="244" t="inlineStr">
        <is>
          <t>Custom Groovy</t>
        </is>
      </c>
      <c r="E69" s="209" t="inlineStr">
        <is>
          <t>S2</t>
        </is>
      </c>
      <c r="F69" s="151" t="inlineStr">
        <is>
          <t>WF-88</t>
        </is>
      </c>
      <c r="G69" s="151" t="inlineStr">
        <is>
          <t>IF Version=Baseline AND Baseline_Lock_Flag=Y THEN reject EPM DM write AND reject all Business Rule writes to Baseline version.</t>
        </is>
      </c>
      <c r="H69" s="151" t="inlineStr">
        <is>
          <t>Version, All</t>
        </is>
      </c>
      <c r="I69" s="151" t="inlineStr">
        <is>
          <t>Baseline_Lock_Flag</t>
        </is>
      </c>
      <c r="J69" s="151" t="inlineStr">
        <is>
          <t>N/A (enforcement rule)</t>
        </is>
      </c>
      <c r="K69" s="151" t="inlineStr">
        <is>
          <t>Prevents auto-refresh from overwriting planning baseline mid-cycle</t>
        </is>
      </c>
    </row>
    <row r="70" ht="46" customHeight="1">
      <c r="A70" s="149" t="n">
        <v>50</v>
      </c>
      <c r="B70" s="149" t="inlineStr">
        <is>
          <t>Scenarios</t>
        </is>
      </c>
      <c r="C70" s="276" t="inlineStr">
        <is>
          <t>CUST_VersionLifecycle</t>
        </is>
      </c>
      <c r="D70" s="243" t="inlineStr">
        <is>
          <t>Custom Groovy</t>
        </is>
      </c>
      <c r="E70" s="210" t="inlineStr">
        <is>
          <t>S1</t>
        </is>
      </c>
      <c r="F70" s="149" t="inlineStr">
        <is>
          <t>WF-22, WF-27</t>
        </is>
      </c>
      <c r="G70" s="149" t="inlineStr">
        <is>
          <t>Enforces version stage: What-If cannot promote to Enterprise without Finance_Admin approval. End-of-cycle: archives What-If versions. Max 5 concurrent What-If versions enforced.</t>
        </is>
      </c>
      <c r="H70" s="149" t="inlineStr">
        <is>
          <t>Version</t>
        </is>
      </c>
      <c r="I70" s="149" t="inlineStr">
        <is>
          <t>Version_Status + Version_Type (Enterprise/WhatIf)</t>
        </is>
      </c>
      <c r="J70" s="149" t="inlineStr">
        <is>
          <t>Version lifecycle log</t>
        </is>
      </c>
      <c r="K70" s="149" t="inlineStr">
        <is>
          <t>Annual EPM Automate cleanup job deletes archived What-If versions</t>
        </is>
      </c>
    </row>
    <row r="71" ht="17" customHeight="1">
      <c r="A71" s="278" t="inlineStr">
        <is>
          <t xml:space="preserve">  ── MASS UPDATES (1 rules) ──</t>
        </is>
      </c>
    </row>
    <row r="72" ht="46" customHeight="1">
      <c r="A72" s="151" t="n">
        <v>51</v>
      </c>
      <c r="B72" s="151" t="inlineStr">
        <is>
          <t>Mass Updates</t>
        </is>
      </c>
      <c r="C72" s="229" t="inlineStr">
        <is>
          <t>CUST_MassUpdate</t>
        </is>
      </c>
      <c r="D72" s="244" t="inlineStr">
        <is>
          <t>Custom Groovy</t>
        </is>
      </c>
      <c r="E72" s="217" t="inlineStr">
        <is>
          <t>S4</t>
        </is>
      </c>
      <c r="F72" s="151" t="inlineStr">
        <is>
          <t>WF-ADV-02</t>
        </is>
      </c>
      <c r="G72" s="151" t="inlineStr">
        <is>
          <t>Accepts array of position IDs with bulk field updates (CC, grade, worker type, start/end date, role). Single EPM rule invocation updates all selected rows. Audit: batch transaction record.</t>
        </is>
      </c>
      <c r="H72" s="151" t="inlineStr">
        <is>
          <t>Position, multiple dims</t>
        </is>
      </c>
      <c r="I72" s="151" t="inlineStr">
        <is>
          <t>Mass_Change_Form multi-row input</t>
        </is>
      </c>
      <c r="J72" s="151" t="inlineStr">
        <is>
          <t>All affected position attributes</t>
        </is>
      </c>
      <c r="K72" s="151" t="inlineStr">
        <is>
          <t>Validation: each position checked individually; partial failures rolled back for that position</t>
        </is>
      </c>
    </row>
    <row r="73" ht="17" customHeight="1">
      <c r="A73" s="279" t="inlineStr">
        <is>
          <t xml:space="preserve">  ── SENSITIVITY (1 rules) ──</t>
        </is>
      </c>
    </row>
    <row r="74" ht="46" customHeight="1">
      <c r="A74" s="149" t="n">
        <v>52</v>
      </c>
      <c r="B74" s="149" t="inlineStr">
        <is>
          <t>Sensitivity</t>
        </is>
      </c>
      <c r="C74" s="220" t="inlineStr">
        <is>
          <t>CUST_ScenarioVariance</t>
        </is>
      </c>
      <c r="D74" s="243" t="inlineStr">
        <is>
          <t>Custom Groovy</t>
        </is>
      </c>
      <c r="E74" s="216" t="inlineStr">
        <is>
          <t>S4</t>
        </is>
      </c>
      <c r="F74" s="149" t="inlineStr">
        <is>
          <t>WF-40, WF-94</t>
        </is>
      </c>
      <c r="G74" s="149" t="inlineStr">
        <is>
          <t>Budget vs Forecast vs Actual: $ variance, % variance, FTE variance. Materiality threshold flag: &gt; configurable $ or % threshold triggers commentary prompt.</t>
        </is>
      </c>
      <c r="H74" s="149" t="inlineStr">
        <is>
          <t>Scenario, Period, Dept</t>
        </is>
      </c>
      <c r="I74" s="149" t="inlineStr">
        <is>
          <t>Budget + Forecast + Actual versions</t>
        </is>
      </c>
      <c r="J74" s="149" t="inlineStr">
        <is>
          <t>Variance_$ + Variance_% + FTE_Variance accounts</t>
        </is>
      </c>
      <c r="K74" s="149" t="inlineStr">
        <is>
          <t>Threshold configurable by Finance; flags shown in dashboard RAG tiles</t>
        </is>
      </c>
    </row>
    <row r="75" ht="17" customHeight="1">
      <c r="A75" s="268" t="inlineStr">
        <is>
          <t xml:space="preserve">  ── POSITION LIFECYCLE (4 rules) ──</t>
        </is>
      </c>
    </row>
    <row r="76" ht="46" customHeight="1">
      <c r="A76" s="151" t="n">
        <v>53</v>
      </c>
      <c r="B76" s="151" t="inlineStr">
        <is>
          <t>Position Lifecycle</t>
        </is>
      </c>
      <c r="C76" s="234" t="inlineStr">
        <is>
          <t>CUST_RetirementCalc</t>
        </is>
      </c>
      <c r="D76" s="244" t="inlineStr">
        <is>
          <t>Custom Groovy</t>
        </is>
      </c>
      <c r="E76" s="217" t="inlineStr">
        <is>
          <t>S4</t>
        </is>
      </c>
      <c r="F76" s="151" t="inlineStr">
        <is>
          <t>WF-92</t>
        </is>
      </c>
      <c r="G76" s="151" t="inlineStr">
        <is>
          <t>Full-year cost reserved until effective retirement date then zeroed. CUST_VDIPDeferral: moves deferred ICP/VDIP to Central_CC post-retirement. Retirement_Flag on position.</t>
        </is>
      </c>
      <c r="H76" s="151" t="inlineStr">
        <is>
          <t>Position, Period</t>
        </is>
      </c>
      <c r="I76" s="151" t="inlineStr">
        <is>
          <t>Retirement_Flag + Retirement_Date</t>
        </is>
      </c>
      <c r="J76" s="151" t="inlineStr">
        <is>
          <t>Retirement_Reserved_Cost + Central_CC VDIP accounts</t>
        </is>
      </c>
      <c r="K76" s="151" t="inlineStr">
        <is>
          <t>Position member retained for history; CC reallocation tracked in audit log</t>
        </is>
      </c>
    </row>
  </sheetData>
  <mergeCells count="22">
    <mergeCell ref="A39:K39"/>
    <mergeCell ref="A59:K59"/>
    <mergeCell ref="A73:K73"/>
    <mergeCell ref="A24:K24"/>
    <mergeCell ref="A49:K49"/>
    <mergeCell ref="A1:K1"/>
    <mergeCell ref="A41:K41"/>
    <mergeCell ref="A75:K75"/>
    <mergeCell ref="A37:K37"/>
    <mergeCell ref="A56:K56"/>
    <mergeCell ref="A12:K12"/>
    <mergeCell ref="A18:K18"/>
    <mergeCell ref="A3:K3"/>
    <mergeCell ref="A26:K26"/>
    <mergeCell ref="A33:K33"/>
    <mergeCell ref="A71:K71"/>
    <mergeCell ref="A22:K22"/>
    <mergeCell ref="A53:K53"/>
    <mergeCell ref="A43:K43"/>
    <mergeCell ref="A9:K9"/>
    <mergeCell ref="A67:K67"/>
    <mergeCell ref="A31:K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4" customWidth="1" min="3" max="3"/>
    <col width="20" customWidth="1" min="4" max="4"/>
  </cols>
  <sheetData>
    <row r="1" ht="30" customHeight="1">
      <c r="A1" s="204" t="inlineStr">
        <is>
          <t xml:space="preserve">  POSITION-BASED PLANNING — ARCHITECTURE DESIGN  |  Below MD: Position-Based  |  MD+: Employee-Based</t>
        </is>
      </c>
    </row>
    <row r="2" ht="19" customHeight="1">
      <c r="A2" s="136" t="inlineStr">
        <is>
          <t xml:space="preserve">  1. PLANNING MODEL — POSITION vs EMPLOYEE</t>
        </is>
      </c>
    </row>
    <row r="3" ht="16" customHeight="1">
      <c r="A3" s="153" t="inlineStr">
        <is>
          <t>Component</t>
        </is>
      </c>
      <c r="B3" s="153" t="inlineStr">
        <is>
          <t>Design Detail</t>
        </is>
      </c>
      <c r="C3" s="153" t="inlineStr">
        <is>
          <t>Owner</t>
        </is>
      </c>
      <c r="D3" s="153" t="inlineStr">
        <is>
          <t>WF Reference</t>
        </is>
      </c>
    </row>
    <row r="4" ht="32" customHeight="1">
      <c r="A4" s="184" t="inlineStr">
        <is>
          <t>Planning Approach — Below MD</t>
        </is>
      </c>
      <c r="B4" s="280" t="inlineStr">
        <is>
          <t>Position-Based Planning: all staff below MD level planned at Position_ID granularity. Employee_ID linked to position as attribute. Salary = AMS from Talent DP matrix, not individual actual.</t>
        </is>
      </c>
      <c r="C4" s="280" t="inlineStr">
        <is>
          <t>Finance / HR</t>
        </is>
      </c>
      <c r="D4" s="280" t="inlineStr">
        <is>
          <t>WF-19</t>
        </is>
      </c>
    </row>
    <row r="5" ht="32" customHeight="1">
      <c r="A5" s="186" t="inlineStr">
        <is>
          <t>Planning Approach — MD and Above</t>
        </is>
      </c>
      <c r="B5" s="281" t="inlineStr">
        <is>
          <t>Employee-Based Planning: MD+ roles planned at individual Employee_ID with actual salary. Grade_Flag='MD+' routes to CUST_MDPlusPlanning. Restricted access: HR_Admin + Finance_Admin only.</t>
        </is>
      </c>
      <c r="C5" s="281" t="inlineStr">
        <is>
          <t>HR_Admin / CFO</t>
        </is>
      </c>
      <c r="D5" s="281" t="inlineStr">
        <is>
          <t>WF-84</t>
        </is>
      </c>
    </row>
    <row r="6" ht="32" customHeight="1">
      <c r="A6" s="184" t="inlineStr">
        <is>
          <t>Position Status Lifecycle</t>
        </is>
      </c>
      <c r="B6" s="280" t="inlineStr">
        <is>
          <t>Filled → Unfilled → Pending_Hire → Pipeline → Closed_Attrition. CUST_PositionLifecycle gates all downstream calc rules based on current status.</t>
        </is>
      </c>
      <c r="C6" s="280" t="inlineStr">
        <is>
          <t>PwC / HR</t>
        </is>
      </c>
      <c r="D6" s="280" t="inlineStr">
        <is>
          <t>WF-28</t>
        </is>
      </c>
    </row>
    <row r="7" ht="32" customHeight="1">
      <c r="A7" s="186" t="inlineStr">
        <is>
          <t>Position Hierarchy Design</t>
        </is>
      </c>
      <c r="B7" s="281" t="inlineStr">
        <is>
          <t>Position_ID (sparse dimension). Grouped by: Entity → Dept → Job_Family → Job_Code → Grade. Position member naming: {CC}_{JobCode}_{Seq} (e.g., CORP-FIN_FAAN_001).</t>
        </is>
      </c>
      <c r="C7" s="281" t="inlineStr">
        <is>
          <t>PwC</t>
        </is>
      </c>
      <c r="D7" s="281" t="inlineStr">
        <is>
          <t>WF-19, WF-20</t>
        </is>
      </c>
    </row>
    <row r="8" ht="32" customHeight="1">
      <c r="A8" s="184" t="inlineStr">
        <is>
          <t>Worker Type Dimension</t>
        </is>
      </c>
      <c r="B8" s="280" t="inlineStr">
        <is>
          <t>Separate dimension: Regular_FTE | Intern | Secondment | Contingent_Vendor | Contingent_Backfill. Drives: merit eligibility, benefit rates, ICP eligibility, reporting splits.</t>
        </is>
      </c>
      <c r="C8" s="280" t="inlineStr">
        <is>
          <t>PwC</t>
        </is>
      </c>
      <c r="D8" s="280" t="inlineStr">
        <is>
          <t>WF-29</t>
        </is>
      </c>
    </row>
    <row r="9" ht="32" customHeight="1">
      <c r="A9" s="186" t="inlineStr">
        <is>
          <t>Position-Employee Linkage</t>
        </is>
      </c>
      <c r="B9" s="281" t="inlineStr">
        <is>
          <t>Employee_ID stored as position attribute. Authorized users can drill position → employee. Anonymity threshold: suppress detail if CC headcount &lt; 3.</t>
        </is>
      </c>
      <c r="C9" s="281" t="inlineStr">
        <is>
          <t>IT / HR</t>
        </is>
      </c>
      <c r="D9" s="281" t="inlineStr">
        <is>
          <t>WF-64, WF-61</t>
        </is>
      </c>
    </row>
    <row r="10" ht="32" customHeight="1">
      <c r="A10" s="184" t="inlineStr">
        <is>
          <t>Contingent Workforce</t>
        </is>
      </c>
      <c r="B10" s="280" t="inlineStr">
        <is>
          <t>Linked to position (backfill) or position-less (project/pool). CUST_ContractorCost: Bill_Rate × Hours × Utilization%. Time-bound: start/end dates required.</t>
        </is>
      </c>
      <c r="C10" s="280" t="inlineStr">
        <is>
          <t>Finance</t>
        </is>
      </c>
      <c r="D10" s="280" t="inlineStr">
        <is>
          <t>WF-34, WF-47, WF-48</t>
        </is>
      </c>
    </row>
    <row r="11" ht="32" customHeight="1">
      <c r="A11" s="186" t="inlineStr">
        <is>
          <t>Double Occupancy</t>
        </is>
      </c>
      <c r="B11" s="281" t="inlineStr">
        <is>
          <t>Double_Occupancy_Flag on position. HC_Count capped at 1; cost captures both employees. Used for maternity leave cover, shadowing, handover periods.</t>
        </is>
      </c>
      <c r="C11" s="281" t="inlineStr">
        <is>
          <t>HR</t>
        </is>
      </c>
      <c r="D11" s="281" t="inlineStr">
        <is>
          <t>WF-50</t>
        </is>
      </c>
    </row>
    <row r="12" ht="32" customHeight="1">
      <c r="A12" s="184" t="inlineStr">
        <is>
          <t>Pipeline / Proposed Positions</t>
        </is>
      </c>
      <c r="B12" s="280" t="inlineStr">
        <is>
          <t>Position_Status = Pipeline. CUST_PipelinePosition: partial-year cost from proposed hire date. Auto-match when Workday creates position: status promoted to Filled.</t>
        </is>
      </c>
      <c r="C12" s="280" t="inlineStr">
        <is>
          <t>HR / Finance</t>
        </is>
      </c>
      <c r="D12" s="280" t="inlineStr">
        <is>
          <t>WF-37</t>
        </is>
      </c>
    </row>
    <row r="13" ht="32" customHeight="1">
      <c r="A13" s="186" t="inlineStr">
        <is>
          <t>Transfer Between Cost Centres</t>
        </is>
      </c>
      <c r="B13" s="281" t="inlineStr">
        <is>
          <t>CUST_CCTransfer: direct move, no approval gate. Employee linkage and HC counts updated immediately in both CCs. Full audit log.</t>
        </is>
      </c>
      <c r="C13" s="281" t="inlineStr">
        <is>
          <t>Finance</t>
        </is>
      </c>
      <c r="D13" s="281" t="inlineStr">
        <is>
          <t>WF-80</t>
        </is>
      </c>
    </row>
    <row r="14" ht="32" customHeight="1">
      <c r="A14" s="184" t="inlineStr">
        <is>
          <t>Retirement Planning</t>
        </is>
      </c>
      <c r="B14" s="280" t="inlineStr">
        <is>
          <t>Full-year cost reserved until effective retirement date. Deferred/VDIP costs moved to Central_CC. Position retained for historical audit trail.</t>
        </is>
      </c>
      <c r="C14" s="280" t="inlineStr">
        <is>
          <t>Finance / HR</t>
        </is>
      </c>
      <c r="D14" s="280" t="inlineStr">
        <is>
          <t>WF-92</t>
        </is>
      </c>
    </row>
    <row r="15"/>
    <row r="16" ht="19" customHeight="1">
      <c r="A16" s="236" t="inlineStr">
        <is>
          <t xml:space="preserve">  2. CALC RULE SEQUENCE — POSITION-BASED PLANNING</t>
        </is>
      </c>
    </row>
    <row r="17" ht="16" customHeight="1">
      <c r="A17" s="153" t="inlineStr">
        <is>
          <t>Step</t>
        </is>
      </c>
      <c r="B17" s="153" t="inlineStr">
        <is>
          <t>Calc Rule</t>
        </is>
      </c>
      <c r="C17" s="153" t="inlineStr">
        <is>
          <t>Logic Summary</t>
        </is>
      </c>
      <c r="D17" s="153" t="inlineStr">
        <is>
          <t>Dependency</t>
        </is>
      </c>
    </row>
    <row r="18" ht="32" customHeight="1">
      <c r="A18" s="184" t="inlineStr">
        <is>
          <t>1. Position Status</t>
        </is>
      </c>
      <c r="B18" s="280" t="inlineStr">
        <is>
          <t>CUST_PositionLifecycle</t>
        </is>
      </c>
      <c r="C18" s="280" t="inlineStr">
        <is>
          <t>Sets Filled/Unfilled/Pipeline/Attrition status — gates all downstream calcs</t>
        </is>
      </c>
      <c r="D18" s="280" t="inlineStr">
        <is>
          <t>Must run first</t>
        </is>
      </c>
    </row>
    <row r="19" ht="32" customHeight="1">
      <c r="A19" s="186" t="inlineStr">
        <is>
          <t>2. MD+ Routing</t>
        </is>
      </c>
      <c r="B19" s="281" t="inlineStr">
        <is>
          <t>CUST_MDPlusPlanning</t>
        </is>
      </c>
      <c r="C19" s="281" t="inlineStr">
        <is>
          <t>Routes MD+ to employee-level actual salary; below-MD to AMS matrix</t>
        </is>
      </c>
      <c r="D19" s="281" t="inlineStr">
        <is>
          <t>Requires Grade_Flag</t>
        </is>
      </c>
    </row>
    <row r="20" ht="32" customHeight="1">
      <c r="A20" s="184" t="inlineStr">
        <is>
          <t>3. AMS — Filled</t>
        </is>
      </c>
      <c r="B20" s="280" t="inlineStr">
        <is>
          <t>CUST_AvgMonthlySalary_Filled</t>
        </is>
      </c>
      <c r="C20" s="280" t="inlineStr">
        <is>
          <t>AVG(Annual_Salary[SubDept,Loc,Role,WorkerType]) / 12 for filled positions</t>
        </is>
      </c>
      <c r="D20" s="280" t="inlineStr">
        <is>
          <t>Talent DP load complete</t>
        </is>
      </c>
    </row>
    <row r="21" ht="32" customHeight="1">
      <c r="A21" s="186" t="inlineStr">
        <is>
          <t>4. AMS — Pending</t>
        </is>
      </c>
      <c r="B21" s="281" t="inlineStr">
        <is>
          <t>CUST_AvgMonthlySalary_Pending</t>
        </is>
      </c>
      <c r="C21" s="281" t="inlineStr">
        <is>
          <t>AMS from matrix or midpoint fallback for new/pipeline positions</t>
        </is>
      </c>
      <c r="D21" s="281" t="inlineStr">
        <is>
          <t>AMS_Matrix + Midpoint loaded</t>
        </is>
      </c>
    </row>
    <row r="22" ht="32" customHeight="1">
      <c r="A22" s="184" t="inlineStr">
        <is>
          <t>5. Manual Override</t>
        </is>
      </c>
      <c r="B22" s="280" t="inlineStr">
        <is>
          <t>CUST_ManualOverrideCalc</t>
        </is>
      </c>
      <c r="C22" s="280" t="inlineStr">
        <is>
          <t>IF Override_Flag=Y: use Override_Salary for all downstream calcs</t>
        </is>
      </c>
      <c r="D22" s="280" t="inlineStr">
        <is>
          <t>Override form input</t>
        </is>
      </c>
    </row>
    <row r="23" ht="32" customHeight="1">
      <c r="A23" s="186" t="inlineStr">
        <is>
          <t>6. Partial Month</t>
        </is>
      </c>
      <c r="B23" s="281" t="inlineStr">
        <is>
          <t>CUST_PartialMonthCalc</t>
        </is>
      </c>
      <c r="C23" s="281" t="inlineStr">
        <is>
          <t>Prorate hire-month cost by Expected_Hire_Date</t>
        </is>
      </c>
      <c r="D23" s="281" t="inlineStr">
        <is>
          <t>Expected_Hire_Date set</t>
        </is>
      </c>
    </row>
    <row r="24" ht="32" customHeight="1">
      <c r="A24" s="184" t="inlineStr">
        <is>
          <t>7. Salary Roll-Forward</t>
        </is>
      </c>
      <c r="B24" s="280" t="inlineStr">
        <is>
          <t>CUST_SalaryRollForward</t>
        </is>
      </c>
      <c r="C24" s="280" t="inlineStr">
        <is>
          <t>Last-month AMS+Merit → next year base (runs post-Final lock)</t>
        </is>
      </c>
      <c r="D24" s="280" t="inlineStr">
        <is>
          <t>Prior year Final locked</t>
        </is>
      </c>
    </row>
    <row r="25" ht="32" customHeight="1">
      <c r="A25" s="186" t="inlineStr">
        <is>
          <t>8. Merit Eligibility</t>
        </is>
      </c>
      <c r="B25" s="281" t="inlineStr">
        <is>
          <t>CUST_MeritEligibility</t>
        </is>
      </c>
      <c r="C25" s="281" t="inlineStr">
        <is>
          <t>Flag eligible worker types (Regular_FTE, Secondment)</t>
        </is>
      </c>
      <c r="D25" s="281" t="inlineStr">
        <is>
          <t>Worker_Type dimension</t>
        </is>
      </c>
    </row>
    <row r="26" ht="32" customHeight="1">
      <c r="A26" s="184" t="inlineStr">
        <is>
          <t>9. Merit Exclusion</t>
        </is>
      </c>
      <c r="B26" s="280" t="inlineStr">
        <is>
          <t>CUST_MeritExclusion</t>
        </is>
      </c>
      <c r="C26" s="280" t="inlineStr">
        <is>
          <t>Zero merit for newly promoted positions in same year</t>
        </is>
      </c>
      <c r="D26" s="280" t="inlineStr">
        <is>
          <t>Promotion_Flag set</t>
        </is>
      </c>
    </row>
    <row r="27" ht="32" customHeight="1">
      <c r="A27" s="186" t="inlineStr">
        <is>
          <t>10. Merit Calc</t>
        </is>
      </c>
      <c r="B27" s="281" t="inlineStr">
        <is>
          <t>CUST_MeritCalc</t>
        </is>
      </c>
      <c r="C27" s="281" t="inlineStr">
        <is>
          <t>AMS × Merit_Pct[Grade] from Merit_Month onward</t>
        </is>
      </c>
      <c r="D27" s="281" t="inlineStr">
        <is>
          <t>Merit eligibility flags</t>
        </is>
      </c>
    </row>
    <row r="28" ht="32" customHeight="1">
      <c r="A28" s="184" t="inlineStr">
        <is>
          <t>11. Benefits</t>
        </is>
      </c>
      <c r="B28" s="280" t="inlineStr">
        <is>
          <t>CUST_BenefitsCalc</t>
        </is>
      </c>
      <c r="C28" s="280" t="inlineStr">
        <is>
          <t>(AMS + Merit) × Blended_Benefit_Rate[Worker_Type, Location]</t>
        </is>
      </c>
      <c r="D28" s="280" t="inlineStr">
        <is>
          <t>AMS + Merit complete</t>
        </is>
      </c>
    </row>
    <row r="29" ht="32" customHeight="1">
      <c r="A29" s="186" t="inlineStr">
        <is>
          <t>12. Promotions</t>
        </is>
      </c>
      <c r="B29" s="281" t="inlineStr">
        <is>
          <t>CUST_PromotionCalc</t>
        </is>
      </c>
      <c r="C29" s="281" t="inlineStr">
        <is>
          <t>AMS × Promotion_Rate — stored separately; sets Promotion_Flag</t>
        </is>
      </c>
      <c r="D29" s="281" t="inlineStr">
        <is>
          <t>Promotion_Rate from Talent DP</t>
        </is>
      </c>
    </row>
    <row r="30" ht="32" customHeight="1">
      <c r="A30" s="184" t="inlineStr">
        <is>
          <t>13. ICP In-Year</t>
        </is>
      </c>
      <c r="B30" s="280" t="inlineStr">
        <is>
          <t>CUST_ICPInYear</t>
        </is>
      </c>
      <c r="C30" s="280" t="inlineStr">
        <is>
          <t>Annual_Salary × ICP_Target × Fund_Mult × Indiv_Mult</t>
        </is>
      </c>
      <c r="D30" s="280" t="inlineStr">
        <is>
          <t>PeopleFluent ICP assumptions loaded</t>
        </is>
      </c>
    </row>
    <row r="31" ht="32" customHeight="1">
      <c r="A31" s="186" t="inlineStr">
        <is>
          <t>14. ICP Merit/Benefits</t>
        </is>
      </c>
      <c r="B31" s="281" t="inlineStr">
        <is>
          <t>CUST_ICPMeritBenefits</t>
        </is>
      </c>
      <c r="C31" s="281" t="inlineStr">
        <is>
          <t>ICP on merit-adjusted salary + ICP benefits component</t>
        </is>
      </c>
      <c r="D31" s="281" t="inlineStr">
        <is>
          <t>CUST_ICPInYear complete</t>
        </is>
      </c>
    </row>
    <row r="32" ht="32" customHeight="1">
      <c r="A32" s="184" t="inlineStr">
        <is>
          <t>15. ICP Deferred</t>
        </is>
      </c>
      <c r="B32" s="280" t="inlineStr">
        <is>
          <t>CUST_ICPDeferred</t>
        </is>
      </c>
      <c r="C32" s="280" t="inlineStr">
        <is>
          <t>CY deferred + PY compound at Fund_RoR</t>
        </is>
      </c>
      <c r="D32" s="280" t="inlineStr">
        <is>
          <t>Prior-year deferred balances</t>
        </is>
      </c>
    </row>
    <row r="33" ht="32" customHeight="1">
      <c r="A33" s="186" t="inlineStr">
        <is>
          <t>16. VDIP</t>
        </is>
      </c>
      <c r="B33" s="281" t="inlineStr">
        <is>
          <t>CUST_VDIPCalc</t>
        </is>
      </c>
      <c r="C33" s="281" t="inlineStr">
        <is>
          <t>Fund + PI VDIP with compounding to payout year</t>
        </is>
      </c>
      <c r="D33" s="281" t="inlineStr">
        <is>
          <t>ICP calcs complete</t>
        </is>
      </c>
    </row>
    <row r="34" ht="32" customHeight="1">
      <c r="A34" s="184" t="inlineStr">
        <is>
          <t>17. Location: HK Housing</t>
        </is>
      </c>
      <c r="B34" s="280" t="inlineStr">
        <is>
          <t>CUST_HKHousingAllowance</t>
        </is>
      </c>
      <c r="C34" s="280" t="inlineStr">
        <is>
          <t>Fixed HK rate for existing Regular_FTE in HK (not new hires)</t>
        </is>
      </c>
      <c r="D34" s="280" t="inlineStr">
        <is>
          <t>Location=HK filter</t>
        </is>
      </c>
    </row>
    <row r="35" ht="32" customHeight="1">
      <c r="A35" s="186" t="inlineStr">
        <is>
          <t>18. Location: BRL Statutory</t>
        </is>
      </c>
      <c r="B35" s="281" t="inlineStr">
        <is>
          <t>CUST_BRLStatutory</t>
        </is>
      </c>
      <c r="C35" s="281" t="inlineStr">
        <is>
          <t>13th month + vacation bonus for all BRL positions</t>
        </is>
      </c>
      <c r="D35" s="281" t="inlineStr">
        <is>
          <t>Location=BRL filter</t>
        </is>
      </c>
    </row>
    <row r="36" ht="32" customHeight="1">
      <c r="A36" s="184" t="inlineStr">
        <is>
          <t>19. Location: BRL ICP</t>
        </is>
      </c>
      <c r="B36" s="280" t="inlineStr">
        <is>
          <t>CUST_BRLStatutoryICP</t>
        </is>
      </c>
      <c r="C36" s="280" t="inlineStr">
        <is>
          <t>BRL statutory ICP components</t>
        </is>
      </c>
      <c r="D36" s="280" t="inlineStr">
        <is>
          <t>ICP calcs + Location=BRL</t>
        </is>
      </c>
    </row>
    <row r="37" ht="32" customHeight="1">
      <c r="A37" s="186" t="inlineStr">
        <is>
          <t>20. Mumbai Mapping</t>
        </is>
      </c>
      <c r="B37" s="281" t="inlineStr">
        <is>
          <t>CUST_MumbaiCostMapping</t>
        </is>
      </c>
      <c r="C37" s="281" t="inlineStr">
        <is>
          <t>PF, Gratuity, Prof_Tax → correct Oracle accounts</t>
        </is>
      </c>
      <c r="D37" s="281" t="inlineStr">
        <is>
          <t>Location=Mumbai filter</t>
        </is>
      </c>
    </row>
    <row r="38" ht="32" customHeight="1">
      <c r="A38" s="184" t="inlineStr">
        <is>
          <t>21. Intl Assignment</t>
        </is>
      </c>
      <c r="B38" s="280" t="inlineStr">
        <is>
          <t>CUST_IntlAssignmentCalc</t>
        </is>
      </c>
      <c r="C38" s="280" t="inlineStr">
        <is>
          <t>Host/home cost split + host currency FX for expats</t>
        </is>
      </c>
      <c r="D38" s="280" t="inlineStr">
        <is>
          <t>Intl_Assignment_Flag</t>
        </is>
      </c>
    </row>
    <row r="39" ht="32" customHeight="1">
      <c r="A39" s="186" t="inlineStr">
        <is>
          <t>22. FX Translation</t>
        </is>
      </c>
      <c r="B39" s="281" t="inlineStr">
        <is>
          <t>CUST_FXTranslation</t>
        </is>
      </c>
      <c r="C39" s="281" t="inlineStr">
        <is>
          <t>Local → CAD at annual average rate (runs last)</t>
        </is>
      </c>
      <c r="D39" s="281" t="inlineStr">
        <is>
          <t>All local-currency calcs complete</t>
        </is>
      </c>
    </row>
    <row r="40" ht="32" customHeight="1">
      <c r="A40" s="184" t="inlineStr">
        <is>
          <t>23. Vacancy Calc</t>
        </is>
      </c>
      <c r="B40" s="280" t="inlineStr">
        <is>
          <t>CUST_VacancyCalc</t>
        </is>
      </c>
      <c r="C40" s="280" t="inlineStr">
        <is>
          <t>Approved_HC − Filled_HC per position per period</t>
        </is>
      </c>
      <c r="D40" s="280" t="inlineStr">
        <is>
          <t>Position_Status values</t>
        </is>
      </c>
    </row>
    <row r="41" ht="32" customHeight="1">
      <c r="A41" s="186" t="inlineStr">
        <is>
          <t>24. Vacancy Decomposed</t>
        </is>
      </c>
      <c r="B41" s="281" t="inlineStr">
        <is>
          <t>CUST_VacancyDecomposed</t>
        </is>
      </c>
      <c r="C41" s="281" t="inlineStr">
        <is>
          <t>Turnover vacancy months + pipeline vacancy months → savings</t>
        </is>
      </c>
      <c r="D41" s="281" t="inlineStr">
        <is>
          <t>Turnover events loaded</t>
        </is>
      </c>
    </row>
    <row r="42" ht="32" customHeight="1">
      <c r="A42" s="184" t="inlineStr">
        <is>
          <t>25. Aggregate</t>
        </is>
      </c>
      <c r="B42" s="280" t="inlineStr">
        <is>
          <t>OEP_WFPAggregateAll</t>
        </is>
      </c>
      <c r="C42" s="280" t="inlineStr">
        <is>
          <t>Position → Dept → Division → Entity rollup</t>
        </is>
      </c>
      <c r="D42" s="280" t="inlineStr">
        <is>
          <t>All position calcs complete</t>
        </is>
      </c>
    </row>
    <row r="43" ht="32" customHeight="1">
      <c r="A43" s="186" t="inlineStr">
        <is>
          <t>26. FX Translation</t>
        </is>
      </c>
      <c r="B43" s="281" t="inlineStr">
        <is>
          <t>OEP_WFPSpread</t>
        </is>
      </c>
      <c r="C43" s="281" t="inlineStr">
        <is>
          <t>Spread annual values to monthly periods</t>
        </is>
      </c>
      <c r="D43" s="281" t="inlineStr">
        <is>
          <t>AggregateAll complete</t>
        </is>
      </c>
    </row>
    <row r="44"/>
    <row r="45" ht="19" customHeight="1">
      <c r="A45" s="282" t="inlineStr">
        <is>
          <t xml:space="preserve">  3. DATA FLOW — SOURCE SYSTEMS TO EPM WFP</t>
        </is>
      </c>
    </row>
    <row r="46" ht="16" customHeight="1">
      <c r="A46" s="153" t="inlineStr">
        <is>
          <t>Source System</t>
        </is>
      </c>
      <c r="B46" s="153" t="inlineStr">
        <is>
          <t>Data Payload</t>
        </is>
      </c>
      <c r="C46" s="153" t="inlineStr">
        <is>
          <t>EPM Target</t>
        </is>
      </c>
      <c r="D46" s="153" t="inlineStr">
        <is>
          <t>Frequency / Method</t>
        </is>
      </c>
    </row>
    <row r="47" ht="32" customHeight="1">
      <c r="A47" s="184" t="inlineStr">
        <is>
          <t>Workday → Talent Data Product</t>
        </is>
      </c>
      <c r="B47" s="280" t="inlineStr">
        <is>
          <t>Position_ID, Employee_ID, OrgUnit, JobCode, Grade, Worker_Type, Effective_Date, Position_Status</t>
        </is>
      </c>
      <c r="C47" s="280" t="inlineStr">
        <is>
          <t>Position dimension + Employee attribute + Job/Grade dimensions</t>
        </is>
      </c>
      <c r="D47" s="280" t="inlineStr">
        <is>
          <t>Monthly snapshot via Talent Data Product API. SOR: Workday (WF-10)</t>
        </is>
      </c>
    </row>
    <row r="48" ht="32" customHeight="1">
      <c r="A48" s="186" t="inlineStr">
        <is>
          <t>Talent Data Product → EPM DM</t>
        </is>
      </c>
      <c r="B48" s="281" t="inlineStr">
        <is>
          <t>Actual salary by position, AMS by [SubDept, Location, Role, Grade], Midpoint by [Home_Location, Level]</t>
        </is>
      </c>
      <c r="C48" s="281" t="inlineStr">
        <is>
          <t>AMS_Matrix + Midpoint assumption tables</t>
        </is>
      </c>
      <c r="D48" s="281" t="inlineStr">
        <is>
          <t>Monthly load (WF-65, WF-66). Delta refresh available (WF-12)</t>
        </is>
      </c>
    </row>
    <row r="49" ht="32" customHeight="1">
      <c r="A49" s="184" t="inlineStr">
        <is>
          <t>PeopleFluent → Talent Data Product → EPM</t>
        </is>
      </c>
      <c r="B49" s="280" t="inlineStr">
        <is>
          <t>ICP_Target_Pct, In_Year_ICP_Pct, Deferred_Pct, Fund_Multiplier, Individual_Multiplier, Total_Fund_RoR, PI_RoR, VDIP_Pct</t>
        </is>
      </c>
      <c r="C49" s="280" t="inlineStr">
        <is>
          <t>ICP_Assumption_Form + ICP_Rates table</t>
        </is>
      </c>
      <c r="D49" s="280" t="inlineStr">
        <is>
          <t>Monthly sync. Quarterly cycle snapshot (WF-15, WF-67)</t>
        </is>
      </c>
    </row>
    <row r="50" ht="32" customHeight="1">
      <c r="A50" s="186" t="inlineStr">
        <is>
          <t>GL / ERP → EPM Data Management</t>
        </is>
      </c>
      <c r="B50" s="281" t="inlineStr">
        <is>
          <t>Actuals by account, cost centre, period</t>
        </is>
      </c>
      <c r="C50" s="281" t="inlineStr">
        <is>
          <t>Actuals scenario — all account members</t>
        </is>
      </c>
      <c r="D50" s="281" t="inlineStr">
        <is>
          <t>Nightly load via EPM Automate. Locked at period close (WF-10)</t>
        </is>
      </c>
    </row>
    <row r="51" ht="32" customHeight="1">
      <c r="A51" s="184" t="inlineStr">
        <is>
          <t>Data Fabric / Oracle Financials → EPM</t>
        </is>
      </c>
      <c r="B51" s="280" t="inlineStr">
        <is>
          <t>CC Hierarchy, Account Hierarchy, GL account mapping</t>
        </is>
      </c>
      <c r="C51" s="280" t="inlineStr">
        <is>
          <t>Dimension hierarchy + Management alternate hierarchy</t>
        </is>
      </c>
      <c r="D51" s="280" t="inlineStr">
        <is>
          <t>Nightly delta sync (WF-ADV-04). LCM snapshot before each sync</t>
        </is>
      </c>
    </row>
    <row r="52" ht="32" customHeight="1">
      <c r="A52" s="186" t="inlineStr">
        <is>
          <t>FX Rate Feed → EPM</t>
        </is>
      </c>
      <c r="B52" s="281" t="inlineStr">
        <is>
          <t>Annual average FX rates by currency and fiscal year</t>
        </is>
      </c>
      <c r="C52" s="281" t="inlineStr">
        <is>
          <t>FX_Rates[Currency, FY, Annual_Avg] assumption table</t>
        </is>
      </c>
      <c r="D52" s="281" t="inlineStr">
        <is>
          <t>Annual load at budget cycle open; updated if rates change (WF-79)</t>
        </is>
      </c>
    </row>
    <row r="53" ht="32" customHeight="1">
      <c r="A53" s="184" t="inlineStr">
        <is>
          <t>Manual Inputs (Finance / HR)</t>
        </is>
      </c>
      <c r="B53" s="280" t="inlineStr">
        <is>
          <t>Driver overrides: Merit%, COLA%, Benefit_Rate, Turnover_Rate. Manual salary overrides (WF-ADV-03). Commentary (WF-35, WF-36)</t>
        </is>
      </c>
      <c r="C53" s="280" t="inlineStr">
        <is>
          <t>Driver assumption forms + Override cells + Cell text</t>
        </is>
      </c>
      <c r="D53" s="280" t="inlineStr">
        <is>
          <t>During planning windows. All overrides logged with requester and reason</t>
        </is>
      </c>
    </row>
  </sheetData>
  <mergeCells count="4">
    <mergeCell ref="A1:D1"/>
    <mergeCell ref="A45:D45"/>
    <mergeCell ref="A2:D2"/>
    <mergeCell ref="A16:D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8" customWidth="1" min="4" max="4"/>
    <col width="12" customWidth="1" min="5" max="5"/>
    <col width="12" customWidth="1" min="6" max="6"/>
  </cols>
  <sheetData>
    <row r="1" ht="30" customHeight="1">
      <c r="A1" s="204" t="inlineStr">
        <is>
          <t xml:space="preserve">  SPRINT DELIVERABLES REGISTER  |  Oracle EPM WFP Release 1a  |  All Sprints</t>
        </is>
      </c>
    </row>
    <row r="2" ht="16" customHeight="1">
      <c r="A2" s="153" t="inlineStr">
        <is>
          <t>Del ID</t>
        </is>
      </c>
      <c r="B2" s="153" t="inlineStr">
        <is>
          <t>Sprint</t>
        </is>
      </c>
      <c r="C2" s="153" t="inlineStr">
        <is>
          <t>Deliverable</t>
        </is>
      </c>
      <c r="D2" s="153" t="inlineStr">
        <is>
          <t>Owner</t>
        </is>
      </c>
      <c r="E2" s="153" t="inlineStr">
        <is>
          <t>Due</t>
        </is>
      </c>
      <c r="F2" s="153" t="inlineStr">
        <is>
          <t>Accepts</t>
        </is>
      </c>
    </row>
    <row r="3" ht="28" customHeight="1">
      <c r="A3" s="186" t="inlineStr">
        <is>
          <t>DEL-DA-01</t>
        </is>
      </c>
      <c r="B3" s="205" t="inlineStr">
        <is>
          <t>Design &amp; Align</t>
        </is>
      </c>
      <c r="C3" s="149" t="inlineStr">
        <is>
          <t>Requirements Traceability Matrix (RTM) — all 97+ WF requirements mapped</t>
        </is>
      </c>
      <c r="D3" s="149" t="inlineStr">
        <is>
          <t>PwC</t>
        </is>
      </c>
      <c r="E3" s="149" t="inlineStr">
        <is>
          <t>28-Feb</t>
        </is>
      </c>
      <c r="F3" s="149" t="inlineStr">
        <is>
          <t>Sponsor / CFO</t>
        </is>
      </c>
    </row>
    <row r="4" ht="28" customHeight="1">
      <c r="A4" s="184" t="inlineStr">
        <is>
          <t>DEL-DA-02</t>
        </is>
      </c>
      <c r="B4" s="214" t="inlineStr">
        <is>
          <t>Design &amp; Align</t>
        </is>
      </c>
      <c r="C4" s="151" t="inlineStr">
        <is>
          <t>Position-Based Planning Architecture Document — design patterns, PBP vs Employee-based rules</t>
        </is>
      </c>
      <c r="D4" s="151" t="inlineStr">
        <is>
          <t>PwC</t>
        </is>
      </c>
      <c r="E4" s="151" t="inlineStr">
        <is>
          <t>28-Feb</t>
        </is>
      </c>
      <c r="F4" s="151" t="inlineStr">
        <is>
          <t>Finance / IT</t>
        </is>
      </c>
    </row>
    <row r="5" ht="28" customHeight="1">
      <c r="A5" s="186" t="inlineStr">
        <is>
          <t>DEL-DA-03</t>
        </is>
      </c>
      <c r="B5" s="205" t="inlineStr">
        <is>
          <t>Design &amp; Align</t>
        </is>
      </c>
      <c r="C5" s="149" t="inlineStr">
        <is>
          <t>Dimension Design Specification — all 7+ dimensions including Location, Worker_Type, Project</t>
        </is>
      </c>
      <c r="D5" s="149" t="inlineStr">
        <is>
          <t>PwC</t>
        </is>
      </c>
      <c r="E5" s="149" t="inlineStr">
        <is>
          <t>28-Feb</t>
        </is>
      </c>
      <c r="F5" s="149" t="inlineStr">
        <is>
          <t>PwC PMO</t>
        </is>
      </c>
    </row>
    <row r="6" ht="28" customHeight="1">
      <c r="A6" s="184" t="inlineStr">
        <is>
          <t>DEL-DA-04</t>
        </is>
      </c>
      <c r="B6" s="214" t="inlineStr">
        <is>
          <t>Design &amp; Align</t>
        </is>
      </c>
      <c r="C6" s="151" t="inlineStr">
        <is>
          <t>Key Design Decisions Log — 30+ KDDs (PBP approach, MD+ threshold, ICP treatment, BOR design)</t>
        </is>
      </c>
      <c r="D6" s="151" t="inlineStr">
        <is>
          <t>PwC / Sponsor</t>
        </is>
      </c>
      <c r="E6" s="151" t="inlineStr">
        <is>
          <t>28-Feb</t>
        </is>
      </c>
      <c r="F6" s="151" t="inlineStr">
        <is>
          <t>Sponsor</t>
        </is>
      </c>
    </row>
    <row r="7" ht="28" customHeight="1">
      <c r="A7" s="186" t="inlineStr">
        <is>
          <t>DEL-DA-05</t>
        </is>
      </c>
      <c r="B7" s="205" t="inlineStr">
        <is>
          <t>Design &amp; Align</t>
        </is>
      </c>
      <c r="C7" s="149" t="inlineStr">
        <is>
          <t>Future-State Architecture — WFP module + OPEX G&amp;A + ICP/VDIP layer</t>
        </is>
      </c>
      <c r="D7" s="149" t="inlineStr">
        <is>
          <t>PwC</t>
        </is>
      </c>
      <c r="E7" s="149" t="inlineStr">
        <is>
          <t>28-Feb</t>
        </is>
      </c>
      <c r="F7" s="149" t="inlineStr">
        <is>
          <t>Finance / IT</t>
        </is>
      </c>
    </row>
    <row r="8" ht="28" customHeight="1">
      <c r="A8" s="184" t="inlineStr">
        <is>
          <t>DEL-DA-06</t>
        </is>
      </c>
      <c r="B8" s="214" t="inlineStr">
        <is>
          <t>Design &amp; Align</t>
        </is>
      </c>
      <c r="C8" s="151" t="inlineStr">
        <is>
          <t>Configuration Workbook v1.0 — dimension register, metadata specs, calc rule specs</t>
        </is>
      </c>
      <c r="D8" s="151" t="inlineStr">
        <is>
          <t>PwC</t>
        </is>
      </c>
      <c r="E8" s="151" t="inlineStr">
        <is>
          <t>28-Feb</t>
        </is>
      </c>
      <c r="F8" s="151" t="inlineStr">
        <is>
          <t>Sponsor</t>
        </is>
      </c>
    </row>
    <row r="9" ht="28" customHeight="1">
      <c r="A9" s="186" t="inlineStr">
        <is>
          <t>DEL-DA-07</t>
        </is>
      </c>
      <c r="B9" s="205" t="inlineStr">
        <is>
          <t>Design &amp; Align</t>
        </is>
      </c>
      <c r="C9" s="149" t="inlineStr">
        <is>
          <t>Integration Architecture — Workday/PeopleFluent/Talent DP/GL/FX to EPM</t>
        </is>
      </c>
      <c r="D9" s="149" t="inlineStr">
        <is>
          <t>PwC / IT</t>
        </is>
      </c>
      <c r="E9" s="149" t="inlineStr">
        <is>
          <t>28-Feb</t>
        </is>
      </c>
      <c r="F9" s="149" t="inlineStr">
        <is>
          <t>IT</t>
        </is>
      </c>
    </row>
    <row r="10" ht="28" customHeight="1">
      <c r="A10" s="184" t="inlineStr">
        <is>
          <t>DEL-DA-08</t>
        </is>
      </c>
      <c r="B10" s="214" t="inlineStr">
        <is>
          <t>Design &amp; Align</t>
        </is>
      </c>
      <c r="C10" s="151" t="inlineStr">
        <is>
          <t>Security Design Document — 5 job roles, DAFs, MD+ restrictions, anonymity thresholds</t>
        </is>
      </c>
      <c r="D10" s="151" t="inlineStr">
        <is>
          <t>PwC / IT Sec</t>
        </is>
      </c>
      <c r="E10" s="151" t="inlineStr">
        <is>
          <t>28-Feb</t>
        </is>
      </c>
      <c r="F10" s="151" t="inlineStr">
        <is>
          <t>IT Sec</t>
        </is>
      </c>
    </row>
    <row r="11" ht="28" customHeight="1">
      <c r="A11" s="186" t="inlineStr">
        <is>
          <t>DEL-DA-09</t>
        </is>
      </c>
      <c r="B11" s="205" t="inlineStr">
        <is>
          <t>Design &amp; Align</t>
        </is>
      </c>
      <c r="C11" s="149" t="inlineStr">
        <is>
          <t>Calc Rules Specification — all 53 rules with formula logic and sequence</t>
        </is>
      </c>
      <c r="D11" s="149" t="inlineStr">
        <is>
          <t>PwC</t>
        </is>
      </c>
      <c r="E11" s="149" t="inlineStr">
        <is>
          <t>28-Feb</t>
        </is>
      </c>
      <c r="F11" s="149" t="inlineStr">
        <is>
          <t>Finance</t>
        </is>
      </c>
    </row>
    <row r="12" ht="28" customHeight="1">
      <c r="A12" s="184" t="inlineStr">
        <is>
          <t>DEL-DA-10</t>
        </is>
      </c>
      <c r="B12" s="214" t="inlineStr">
        <is>
          <t>Design &amp; Align</t>
        </is>
      </c>
      <c r="C12" s="151" t="inlineStr">
        <is>
          <t>3-Year Planning Calendar + Version Lifecycle Framework</t>
        </is>
      </c>
      <c r="D12" s="151" t="inlineStr">
        <is>
          <t>PwC / Finance</t>
        </is>
      </c>
      <c r="E12" s="151" t="inlineStr">
        <is>
          <t>28-Feb</t>
        </is>
      </c>
      <c r="F12" s="151" t="inlineStr">
        <is>
          <t>CFO</t>
        </is>
      </c>
    </row>
    <row r="13" ht="28" customHeight="1">
      <c r="A13" s="186" t="inlineStr">
        <is>
          <t>DEL-POC-01</t>
        </is>
      </c>
      <c r="B13" s="283" t="inlineStr">
        <is>
          <t>POC</t>
        </is>
      </c>
      <c r="C13" s="149" t="inlineStr">
        <is>
          <t>POC Findings Report — validated AMS calc, ICP Groovy, position-based model on rep data</t>
        </is>
      </c>
      <c r="D13" s="149" t="inlineStr">
        <is>
          <t>PwC</t>
        </is>
      </c>
      <c r="E13" s="149" t="inlineStr">
        <is>
          <t>28-Feb</t>
        </is>
      </c>
      <c r="F13" s="149" t="inlineStr">
        <is>
          <t>Finance / IT</t>
        </is>
      </c>
    </row>
    <row r="14" ht="28" customHeight="1">
      <c r="A14" s="184" t="inlineStr">
        <is>
          <t>DEL-S1-01</t>
        </is>
      </c>
      <c r="B14" s="207" t="inlineStr">
        <is>
          <t>S1</t>
        </is>
      </c>
      <c r="C14" s="151" t="inlineStr">
        <is>
          <t>5 Standard Oracle WFP Rules deployed to DEV (CalcAll, ClearAll, Spread, AggregateAll, CalcByEntity)</t>
        </is>
      </c>
      <c r="D14" s="151" t="inlineStr">
        <is>
          <t>PwC</t>
        </is>
      </c>
      <c r="E14" s="151" t="inlineStr">
        <is>
          <t>28-Mar</t>
        </is>
      </c>
      <c r="F14" s="151" t="inlineStr">
        <is>
          <t>Finance</t>
        </is>
      </c>
    </row>
    <row r="15" ht="28" customHeight="1">
      <c r="A15" s="186" t="inlineStr">
        <is>
          <t>DEL-S1-02</t>
        </is>
      </c>
      <c r="B15" s="210" t="inlineStr">
        <is>
          <t>S1</t>
        </is>
      </c>
      <c r="C15" s="149" t="inlineStr">
        <is>
          <t>Version dimension — 5 Enterprise + 5 What-If members built and governed (WF-27, WF-22)</t>
        </is>
      </c>
      <c r="D15" s="149" t="inlineStr">
        <is>
          <t>PwC</t>
        </is>
      </c>
      <c r="E15" s="149" t="inlineStr">
        <is>
          <t>28-Mar</t>
        </is>
      </c>
      <c r="F15" s="149" t="inlineStr">
        <is>
          <t>PMO</t>
        </is>
      </c>
    </row>
    <row r="16" ht="28" customHeight="1">
      <c r="A16" s="184" t="inlineStr">
        <is>
          <t>DEL-S1-03</t>
        </is>
      </c>
      <c r="B16" s="207" t="inlineStr">
        <is>
          <t>S1</t>
        </is>
      </c>
      <c r="C16" s="151" t="inlineStr">
        <is>
          <t>CUST_VersionLock + CUST_VersionPromotion + CUST_VersionLifecycle deployed (WF-02, WF-41, WF-22)</t>
        </is>
      </c>
      <c r="D16" s="151" t="inlineStr">
        <is>
          <t>PwC</t>
        </is>
      </c>
      <c r="E16" s="151" t="inlineStr">
        <is>
          <t>28-Mar</t>
        </is>
      </c>
      <c r="F16" s="151" t="inlineStr">
        <is>
          <t>Finance</t>
        </is>
      </c>
    </row>
    <row r="17" ht="28" customHeight="1">
      <c r="A17" s="186" t="inlineStr">
        <is>
          <t>DEL-S1-04</t>
        </is>
      </c>
      <c r="B17" s="210" t="inlineStr">
        <is>
          <t>S1</t>
        </is>
      </c>
      <c r="C17" s="149" t="inlineStr">
        <is>
          <t>Position dimension — 500+ active positions loaded; Position_Status lifecycle attributes set (WF-28)</t>
        </is>
      </c>
      <c r="D17" s="149" t="inlineStr">
        <is>
          <t>PwC / HR</t>
        </is>
      </c>
      <c r="E17" s="149" t="inlineStr">
        <is>
          <t>28-Mar</t>
        </is>
      </c>
      <c r="F17" s="149" t="inlineStr">
        <is>
          <t>HR</t>
        </is>
      </c>
    </row>
    <row r="18" ht="28" customHeight="1">
      <c r="A18" s="184" t="inlineStr">
        <is>
          <t>DEL-S1-05</t>
        </is>
      </c>
      <c r="B18" s="207" t="inlineStr">
        <is>
          <t>S1</t>
        </is>
      </c>
      <c r="C18" s="151" t="inlineStr">
        <is>
          <t>CUST_PositionLifecycle + CUST_MDPlusPlanning deployed and unit tested (WF-19, WF-84, WF-28)</t>
        </is>
      </c>
      <c r="D18" s="151" t="inlineStr">
        <is>
          <t>PwC</t>
        </is>
      </c>
      <c r="E18" s="151" t="inlineStr">
        <is>
          <t>28-Mar</t>
        </is>
      </c>
      <c r="F18" s="151" t="inlineStr">
        <is>
          <t>Finance</t>
        </is>
      </c>
    </row>
    <row r="19" ht="28" customHeight="1">
      <c r="A19" s="186" t="inlineStr">
        <is>
          <t>DEL-S1-06</t>
        </is>
      </c>
      <c r="B19" s="210" t="inlineStr">
        <is>
          <t>S1</t>
        </is>
      </c>
      <c r="C19" s="149" t="inlineStr">
        <is>
          <t>Security: 5 job roles + all DAFs (Account, CC, Job, Employee, Version) configured (WF-58–64)</t>
        </is>
      </c>
      <c r="D19" s="149" t="inlineStr">
        <is>
          <t>IT Sec / PwC</t>
        </is>
      </c>
      <c r="E19" s="149" t="inlineStr">
        <is>
          <t>28-Mar</t>
        </is>
      </c>
      <c r="F19" s="149" t="inlineStr">
        <is>
          <t>IT Sec</t>
        </is>
      </c>
    </row>
    <row r="20" ht="28" customHeight="1">
      <c r="A20" s="184" t="inlineStr">
        <is>
          <t>DEL-S1-07</t>
        </is>
      </c>
      <c r="B20" s="207" t="inlineStr">
        <is>
          <t>S1</t>
        </is>
      </c>
      <c r="C20" s="151" t="inlineStr">
        <is>
          <t>Multi-currency setup: all currencies + FX_Rates table + CAD reporting currency (WF-25, WF-79)</t>
        </is>
      </c>
      <c r="D20" s="151" t="inlineStr">
        <is>
          <t>PwC / IT</t>
        </is>
      </c>
      <c r="E20" s="151" t="inlineStr">
        <is>
          <t>28-Mar</t>
        </is>
      </c>
      <c r="F20" s="151" t="inlineStr">
        <is>
          <t>Finance</t>
        </is>
      </c>
    </row>
    <row r="21" ht="28" customHeight="1">
      <c r="A21" s="186" t="inlineStr">
        <is>
          <t>DEL-S1-08</t>
        </is>
      </c>
      <c r="B21" s="210" t="inlineStr">
        <is>
          <t>S1</t>
        </is>
      </c>
      <c r="C21" s="149" t="inlineStr">
        <is>
          <t>Worker_Type dimension + Location dimension built and loaded (WF-21, WF-29)</t>
        </is>
      </c>
      <c r="D21" s="149" t="inlineStr">
        <is>
          <t>PwC</t>
        </is>
      </c>
      <c r="E21" s="149" t="inlineStr">
        <is>
          <t>28-Mar</t>
        </is>
      </c>
      <c r="F21" s="149" t="inlineStr">
        <is>
          <t>PwC PMO</t>
        </is>
      </c>
    </row>
    <row r="22" ht="28" customHeight="1">
      <c r="A22" s="184" t="inlineStr">
        <is>
          <t>DEL-S2-01</t>
        </is>
      </c>
      <c r="B22" s="209" t="inlineStr">
        <is>
          <t>S2</t>
        </is>
      </c>
      <c r="C22" s="151" t="inlineStr">
        <is>
          <t>Workday → Talent DP → EPM DM position load live: HRIS_Position_Snapshot_Monthly (WF-10)</t>
        </is>
      </c>
      <c r="D22" s="151" t="inlineStr">
        <is>
          <t>IT / PwC</t>
        </is>
      </c>
      <c r="E22" s="151" t="inlineStr">
        <is>
          <t>25-Apr</t>
        </is>
      </c>
      <c r="F22" s="151" t="inlineStr">
        <is>
          <t>IT</t>
        </is>
      </c>
    </row>
    <row r="23" ht="28" customHeight="1">
      <c r="A23" s="186" t="inlineStr">
        <is>
          <t>DEL-S2-02</t>
        </is>
      </c>
      <c r="B23" s="212" t="inlineStr">
        <is>
          <t>S2</t>
        </is>
      </c>
      <c r="C23" s="149" t="inlineStr">
        <is>
          <t>PeopleFluent → Talent DP → ICP_Assumptions_Load live + ICP_Rates table populated (WF-15, WF-67)</t>
        </is>
      </c>
      <c r="D23" s="149" t="inlineStr">
        <is>
          <t>IT / PwC</t>
        </is>
      </c>
      <c r="E23" s="149" t="inlineStr">
        <is>
          <t>25-Apr</t>
        </is>
      </c>
      <c r="F23" s="149" t="inlineStr">
        <is>
          <t>IT</t>
        </is>
      </c>
    </row>
    <row r="24" ht="28" customHeight="1">
      <c r="A24" s="184" t="inlineStr">
        <is>
          <t>DEL-S2-03</t>
        </is>
      </c>
      <c r="B24" s="209" t="inlineStr">
        <is>
          <t>S2</t>
        </is>
      </c>
      <c r="C24" s="151" t="inlineStr">
        <is>
          <t>CUST_DataValidation + CUST_DataSourceTag deployed: error reporting + source traceability (WF-11,14,16)</t>
        </is>
      </c>
      <c r="D24" s="151" t="inlineStr">
        <is>
          <t>PwC</t>
        </is>
      </c>
      <c r="E24" s="151" t="inlineStr">
        <is>
          <t>25-Apr</t>
        </is>
      </c>
      <c r="F24" s="151" t="inlineStr">
        <is>
          <t>Finance</t>
        </is>
      </c>
    </row>
    <row r="25" ht="28" customHeight="1">
      <c r="A25" s="186" t="inlineStr">
        <is>
          <t>DEL-S2-04</t>
        </is>
      </c>
      <c r="B25" s="212" t="inlineStr">
        <is>
          <t>S2</t>
        </is>
      </c>
      <c r="C25" s="149" t="inlineStr">
        <is>
          <t>GL Actuals load live; 3yr historical + FY25 B/F loaded and reconciled (WF-08, WF-09)</t>
        </is>
      </c>
      <c r="D25" s="149" t="inlineStr">
        <is>
          <t>IT / Finance</t>
        </is>
      </c>
      <c r="E25" s="149" t="inlineStr">
        <is>
          <t>25-Apr</t>
        </is>
      </c>
      <c r="F25" s="149" t="inlineStr">
        <is>
          <t>Finance</t>
        </is>
      </c>
    </row>
    <row r="26" ht="28" customHeight="1">
      <c r="A26" s="184" t="inlineStr">
        <is>
          <t>DEL-S2-05</t>
        </is>
      </c>
      <c r="B26" s="209" t="inlineStr">
        <is>
          <t>S2</t>
        </is>
      </c>
      <c r="C26" s="151" t="inlineStr">
        <is>
          <t>Midpoint_Load + CUST_AvgSalaryByMatrix + AMS_Matrix assumption table built (WF-65, WF-66)</t>
        </is>
      </c>
      <c r="D26" s="151" t="inlineStr">
        <is>
          <t>PwC / IT</t>
        </is>
      </c>
      <c r="E26" s="151" t="inlineStr">
        <is>
          <t>25-Apr</t>
        </is>
      </c>
      <c r="F26" s="151" t="inlineStr">
        <is>
          <t>Finance</t>
        </is>
      </c>
    </row>
    <row r="27" ht="28" customHeight="1">
      <c r="A27" s="186" t="inlineStr">
        <is>
          <t>DEL-S2-06</t>
        </is>
      </c>
      <c r="B27" s="212" t="inlineStr">
        <is>
          <t>S2</t>
        </is>
      </c>
      <c r="C27" s="149" t="inlineStr">
        <is>
          <t>CUST_BaselineRefresh + CUST_BaselineLock deployed (WF-49, WF-88)</t>
        </is>
      </c>
      <c r="D27" s="149" t="inlineStr">
        <is>
          <t>PwC</t>
        </is>
      </c>
      <c r="E27" s="149" t="inlineStr">
        <is>
          <t>25-Apr</t>
        </is>
      </c>
      <c r="F27" s="149" t="inlineStr">
        <is>
          <t>PMO</t>
        </is>
      </c>
    </row>
    <row r="28" ht="28" customHeight="1">
      <c r="A28" s="184" t="inlineStr">
        <is>
          <t>DEL-S2-07</t>
        </is>
      </c>
      <c r="B28" s="209" t="inlineStr">
        <is>
          <t>S2</t>
        </is>
      </c>
      <c r="C28" s="151" t="inlineStr">
        <is>
          <t>Hierarchy_Sync_Load: Oracle Financials CC + Account hierarchy nightly sync (WF-ADV-04)</t>
        </is>
      </c>
      <c r="D28" s="151" t="inlineStr">
        <is>
          <t>IT / PwC</t>
        </is>
      </c>
      <c r="E28" s="151" t="inlineStr">
        <is>
          <t>25-Apr</t>
        </is>
      </c>
      <c r="F28" s="151" t="inlineStr">
        <is>
          <t>IT</t>
        </is>
      </c>
    </row>
    <row r="29" ht="28" customHeight="1">
      <c r="A29" s="186" t="inlineStr">
        <is>
          <t>DEL-S2-08</t>
        </is>
      </c>
      <c r="B29" s="212" t="inlineStr">
        <is>
          <t>S2</t>
        </is>
      </c>
      <c r="C29" s="149" t="inlineStr">
        <is>
          <t>EPM Automate: all nightly jobs scheduled (load → calc → export → reconcile) (WF-17, WF-12)</t>
        </is>
      </c>
      <c r="D29" s="149" t="inlineStr">
        <is>
          <t>IT</t>
        </is>
      </c>
      <c r="E29" s="149" t="inlineStr">
        <is>
          <t>25-Apr</t>
        </is>
      </c>
      <c r="F29" s="149" t="inlineStr">
        <is>
          <t>IT</t>
        </is>
      </c>
    </row>
    <row r="30" ht="28" customHeight="1">
      <c r="A30" s="184" t="inlineStr">
        <is>
          <t>DEL-S3-01</t>
        </is>
      </c>
      <c r="B30" s="211" t="inlineStr">
        <is>
          <t>S3</t>
        </is>
      </c>
      <c r="C30" s="151" t="inlineStr">
        <is>
          <t>All 26 position-based compensation Groovy rules deployed and unit tested (CR-07 through CR-32)</t>
        </is>
      </c>
      <c r="D30" s="151" t="inlineStr">
        <is>
          <t>PwC</t>
        </is>
      </c>
      <c r="E30" s="151" t="inlineStr">
        <is>
          <t>30-May</t>
        </is>
      </c>
      <c r="F30" s="151" t="inlineStr">
        <is>
          <t>Finance / HR</t>
        </is>
      </c>
    </row>
    <row r="31" ht="28" customHeight="1">
      <c r="A31" s="186" t="inlineStr">
        <is>
          <t>DEL-S3-02</t>
        </is>
      </c>
      <c r="B31" s="228" t="inlineStr">
        <is>
          <t>S3</t>
        </is>
      </c>
      <c r="C31" s="149" t="inlineStr">
        <is>
          <t>ICP Suite: CUST_ICPInYear + ICPMeritBenefits + ICPDeferred + VDIPCalc + ICPSensitivity (WF-74–77)</t>
        </is>
      </c>
      <c r="D31" s="149" t="inlineStr">
        <is>
          <t>PwC</t>
        </is>
      </c>
      <c r="E31" s="149" t="inlineStr">
        <is>
          <t>30-May</t>
        </is>
      </c>
      <c r="F31" s="149" t="inlineStr">
        <is>
          <t>Finance</t>
        </is>
      </c>
    </row>
    <row r="32" ht="28" customHeight="1">
      <c r="A32" s="184" t="inlineStr">
        <is>
          <t>DEL-S3-03</t>
        </is>
      </c>
      <c r="B32" s="211" t="inlineStr">
        <is>
          <t>S3</t>
        </is>
      </c>
      <c r="C32" s="151" t="inlineStr">
        <is>
          <t>Location rules: HK Housing, BRL Statutory (×2), Mumbai Mapping, Intl Assignment (WF-73,78,90,91)</t>
        </is>
      </c>
      <c r="D32" s="151" t="inlineStr">
        <is>
          <t>PwC</t>
        </is>
      </c>
      <c r="E32" s="151" t="inlineStr">
        <is>
          <t>30-May</t>
        </is>
      </c>
      <c r="F32" s="151" t="inlineStr">
        <is>
          <t>Finance</t>
        </is>
      </c>
    </row>
    <row r="33" ht="28" customHeight="1">
      <c r="A33" s="186" t="inlineStr">
        <is>
          <t>DEL-S3-04</t>
        </is>
      </c>
      <c r="B33" s="228" t="inlineStr">
        <is>
          <t>S3</t>
        </is>
      </c>
      <c r="C33" s="149" t="inlineStr">
        <is>
          <t>FX Translation: CUST_FXTranslation live across all location/currency combos (WF-79)</t>
        </is>
      </c>
      <c r="D33" s="149" t="inlineStr">
        <is>
          <t>PwC</t>
        </is>
      </c>
      <c r="E33" s="149" t="inlineStr">
        <is>
          <t>30-May</t>
        </is>
      </c>
      <c r="F33" s="149" t="inlineStr">
        <is>
          <t>Finance</t>
        </is>
      </c>
    </row>
    <row r="34" ht="28" customHeight="1">
      <c r="A34" s="184" t="inlineStr">
        <is>
          <t>DEL-S3-05</t>
        </is>
      </c>
      <c r="B34" s="211" t="inlineStr">
        <is>
          <t>S3</t>
        </is>
      </c>
      <c r="C34" s="151" t="inlineStr">
        <is>
          <t>HC Driver rules: Vacancy, VacancyDecomposed, TurnoverCalc, DoubleOccupancy (WF-42–44, WF-50)</t>
        </is>
      </c>
      <c r="D34" s="151" t="inlineStr">
        <is>
          <t>PwC</t>
        </is>
      </c>
      <c r="E34" s="151" t="inlineStr">
        <is>
          <t>30-May</t>
        </is>
      </c>
      <c r="F34" s="151" t="inlineStr">
        <is>
          <t>Finance</t>
        </is>
      </c>
    </row>
    <row r="35" ht="28" customHeight="1">
      <c r="A35" s="186" t="inlineStr">
        <is>
          <t>DEL-S3-06</t>
        </is>
      </c>
      <c r="B35" s="228" t="inlineStr">
        <is>
          <t>S3</t>
        </is>
      </c>
      <c r="C35" s="149" t="inlineStr">
        <is>
          <t>S3 Playback — live calc demo: position → AMS → Merit → Benefits → ICP → VDIP → FX chain</t>
        </is>
      </c>
      <c r="D35" s="149" t="inlineStr">
        <is>
          <t>PMO / Finance</t>
        </is>
      </c>
      <c r="E35" s="149" t="inlineStr">
        <is>
          <t>30-May</t>
        </is>
      </c>
      <c r="F35" s="149" t="inlineStr">
        <is>
          <t>Finance / CFO</t>
        </is>
      </c>
    </row>
    <row r="36" ht="28" customHeight="1">
      <c r="A36" s="184" t="inlineStr">
        <is>
          <t>DEL-S4-01</t>
        </is>
      </c>
      <c r="B36" s="217" t="inlineStr">
        <is>
          <t>S4</t>
        </is>
      </c>
      <c r="C36" s="151" t="inlineStr">
        <is>
          <t>All 27 remaining Groovy rules deployed: lifecycle, reporting, scenarios, mass update (CR-33 to CR-53)</t>
        </is>
      </c>
      <c r="D36" s="151" t="inlineStr">
        <is>
          <t>PwC</t>
        </is>
      </c>
      <c r="E36" s="151" t="inlineStr">
        <is>
          <t>27-Jun</t>
        </is>
      </c>
      <c r="F36" s="151" t="inlineStr">
        <is>
          <t>Finance</t>
        </is>
      </c>
    </row>
    <row r="37" ht="28" customHeight="1">
      <c r="A37" s="186" t="inlineStr">
        <is>
          <t>DEL-S4-02</t>
        </is>
      </c>
      <c r="B37" s="216" t="inlineStr">
        <is>
          <t>S4</t>
        </is>
      </c>
      <c r="C37" s="149" t="inlineStr">
        <is>
          <t>All planning forms: Position Planning, New Hire, OPEX G&amp;A, Mass Change, Contingent, Transfer</t>
        </is>
      </c>
      <c r="D37" s="149" t="inlineStr">
        <is>
          <t>PwC</t>
        </is>
      </c>
      <c r="E37" s="149" t="inlineStr">
        <is>
          <t>27-Jun</t>
        </is>
      </c>
      <c r="F37" s="149" t="inlineStr">
        <is>
          <t>Finance</t>
        </is>
      </c>
    </row>
    <row r="38" ht="28" customHeight="1">
      <c r="A38" s="184" t="inlineStr">
        <is>
          <t>DEL-S4-03</t>
        </is>
      </c>
      <c r="B38" s="217" t="inlineStr">
        <is>
          <t>S4</t>
        </is>
      </c>
      <c r="C38" s="151" t="inlineStr">
        <is>
          <t>Management dashboards: HC summary, FTE gap, OPEX variance, BOR/ICP, Scenario comparison</t>
        </is>
      </c>
      <c r="D38" s="151" t="inlineStr">
        <is>
          <t>PwC</t>
        </is>
      </c>
      <c r="E38" s="151" t="inlineStr">
        <is>
          <t>27-Jun</t>
        </is>
      </c>
      <c r="F38" s="151" t="inlineStr">
        <is>
          <t>Finance / CFO</t>
        </is>
      </c>
    </row>
    <row r="39" ht="28" customHeight="1">
      <c r="A39" s="186" t="inlineStr">
        <is>
          <t>DEL-S4-04</t>
        </is>
      </c>
      <c r="B39" s="216" t="inlineStr">
        <is>
          <t>S4</t>
        </is>
      </c>
      <c r="C39" s="149" t="inlineStr">
        <is>
          <t>Narrative Reporting templates: WFP Mgmt Report, BOR Report, Audit Report, Variance Report (WF-87, WF-03, WF-96)</t>
        </is>
      </c>
      <c r="D39" s="149" t="inlineStr">
        <is>
          <t>PwC / Finance</t>
        </is>
      </c>
      <c r="E39" s="149" t="inlineStr">
        <is>
          <t>27-Jun</t>
        </is>
      </c>
      <c r="F39" s="149" t="inlineStr">
        <is>
          <t>CFO</t>
        </is>
      </c>
    </row>
    <row r="40" ht="28" customHeight="1">
      <c r="A40" s="184" t="inlineStr">
        <is>
          <t>DEL-S4-05</t>
        </is>
      </c>
      <c r="B40" s="217" t="inlineStr">
        <is>
          <t>S4</t>
        </is>
      </c>
      <c r="C40" s="151" t="inlineStr">
        <is>
          <t>Push to Reporting (WFP→REP) + Push to FS module — user-triggered, dept-scoped (WF-ADV-06, WF-ADV-07)</t>
        </is>
      </c>
      <c r="D40" s="151" t="inlineStr">
        <is>
          <t>PwC / IT</t>
        </is>
      </c>
      <c r="E40" s="151" t="inlineStr">
        <is>
          <t>27-Jun</t>
        </is>
      </c>
      <c r="F40" s="151" t="inlineStr">
        <is>
          <t>Finance</t>
        </is>
      </c>
    </row>
    <row r="41" ht="28" customHeight="1">
      <c r="A41" s="186" t="inlineStr">
        <is>
          <t>DEL-S4-06</t>
        </is>
      </c>
      <c r="B41" s="216" t="inlineStr">
        <is>
          <t>S4</t>
        </is>
      </c>
      <c r="C41" s="149" t="inlineStr">
        <is>
          <t>SIT test scripts — 120+ test cases mapped to all 97 WF requirements and 53 calc rules</t>
        </is>
      </c>
      <c r="D41" s="149" t="inlineStr">
        <is>
          <t>PwC</t>
        </is>
      </c>
      <c r="E41" s="149" t="inlineStr">
        <is>
          <t>27-Jun</t>
        </is>
      </c>
      <c r="F41" s="149" t="inlineStr">
        <is>
          <t>PMO</t>
        </is>
      </c>
    </row>
    <row r="42" ht="28" customHeight="1">
      <c r="A42" s="184" t="inlineStr">
        <is>
          <t>DEL-SIT-01</t>
        </is>
      </c>
      <c r="B42" s="208" t="inlineStr">
        <is>
          <t>SIT</t>
        </is>
      </c>
      <c r="C42" s="151" t="inlineStr">
        <is>
          <t>SIT Execution Report — all 120+ scripts, defect log, regression sign-off</t>
        </is>
      </c>
      <c r="D42" s="151" t="inlineStr">
        <is>
          <t>PwC PMO</t>
        </is>
      </c>
      <c r="E42" s="151" t="inlineStr">
        <is>
          <t>18-Jul</t>
        </is>
      </c>
      <c r="F42" s="151" t="inlineStr">
        <is>
          <t>PMO / Sponsor</t>
        </is>
      </c>
    </row>
    <row r="43" ht="28" customHeight="1">
      <c r="A43" s="186" t="inlineStr">
        <is>
          <t>DEL-UAT-01</t>
        </is>
      </c>
      <c r="B43" s="218" t="inlineStr">
        <is>
          <t>UAT</t>
        </is>
      </c>
      <c r="C43" s="149" t="inlineStr">
        <is>
          <t>UAT Execution Report — 60+ business scenarios, all WF acceptance criteria met</t>
        </is>
      </c>
      <c r="D43" s="149" t="inlineStr">
        <is>
          <t>Finance / CFO</t>
        </is>
      </c>
      <c r="E43" s="149" t="inlineStr">
        <is>
          <t>01-Aug</t>
        </is>
      </c>
      <c r="F43" s="149" t="inlineStr">
        <is>
          <t>CFO / Sponsor</t>
        </is>
      </c>
    </row>
    <row r="44" ht="28" customHeight="1">
      <c r="A44" s="184" t="inlineStr">
        <is>
          <t>DEL-GO-01</t>
        </is>
      </c>
      <c r="B44" s="184" t="inlineStr">
        <is>
          <t>Go-Live</t>
        </is>
      </c>
      <c r="C44" s="151" t="inlineStr">
        <is>
          <t>Go-Live Package: cutover plan, PROD data reconciliation, training completion, Go/No-Go sign-off</t>
        </is>
      </c>
      <c r="D44" s="151" t="inlineStr">
        <is>
          <t>PwC / Finance</t>
        </is>
      </c>
      <c r="E44" s="151" t="inlineStr">
        <is>
          <t>20-Aug</t>
        </is>
      </c>
      <c r="F44" s="151" t="inlineStr">
        <is>
          <t>CIO / CFO / Sponsor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2026-03-09T01:32:40Z</dcterms:created>
  <dcterms:modified xmlns:dcterms="http://purl.org/dc/terms/" xmlns:xsi="http://www.w3.org/2001/XMLSchema-instance" xsi:type="dcterms:W3CDTF">2026-03-09T11:05:10Z</dcterms:modified>
</cp:coreProperties>
</file>