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alc Rules Register" sheetId="2" state="visible" r:id="rId2"/>
    <sheet xmlns:r="http://schemas.openxmlformats.org/officeDocument/2006/relationships" name="Milestones &amp; RACI" sheetId="3" state="visible" r:id="rId3"/>
  </sheets>
  <definedNames>
    <definedName name="_xlnm.Print_Area" localSheetId="0">'Project Plan'!$A$1:$AD$178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-MMM"/>
    <numFmt numFmtId="166" formatCode="DD-MMM-YY"/>
    <numFmt numFmtId="167" formatCode="0 &quot;d&quot;"/>
    <numFmt numFmtId="168" formatCode="0 &quot;days&quot;"/>
  </numFmts>
  <fonts count="4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8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FFFFFF"/>
      <sz val="8"/>
    </font>
    <font>
      <name val="Calibri"/>
      <i val="1"/>
      <color rgb="00BBBBBB"/>
      <sz val="6"/>
    </font>
    <font>
      <name val="Calibri"/>
      <color rgb="00BBBBBB"/>
      <sz val="6"/>
    </font>
    <font>
      <name val="Calibri"/>
      <b val="1"/>
      <color rgb="00FFFFFF"/>
      <sz val="10"/>
    </font>
    <font>
      <name val="Calibri"/>
      <color rgb="00595959"/>
      <sz val="7"/>
    </font>
    <font>
      <name val="Calibri"/>
      <b val="1"/>
      <color rgb="00000000"/>
      <sz val="9"/>
    </font>
    <font>
      <name val="Calibri"/>
      <i val="1"/>
      <color rgb="00595959"/>
      <sz val="7"/>
    </font>
    <font>
      <name val="Calibri"/>
      <b val="1"/>
      <color rgb="001F497D"/>
      <sz val="8"/>
    </font>
    <font>
      <name val="Calibri"/>
      <b val="1"/>
      <color rgb="00375623"/>
      <sz val="7"/>
    </font>
    <font>
      <name val="Calibri"/>
      <i val="1"/>
      <color rgb="00333333"/>
      <sz val="8"/>
    </font>
    <font>
      <name val="Calibri"/>
      <color rgb="001F497D"/>
      <sz val="8"/>
    </font>
    <font>
      <name val="Calibri"/>
      <b val="1"/>
      <color rgb="002E5090"/>
      <sz val="7"/>
    </font>
    <font>
      <name val="Calibri"/>
      <b val="1"/>
      <color rgb="004472C4"/>
      <sz val="9"/>
    </font>
    <font>
      <name val="Calibri"/>
      <i val="1"/>
      <color rgb="00595959"/>
      <sz val="8"/>
    </font>
    <font>
      <name val="Calibri"/>
      <b val="1"/>
      <color rgb="004472C4"/>
      <sz val="8"/>
    </font>
    <font>
      <name val="Calibri"/>
      <color rgb="00595959"/>
      <sz val="8"/>
    </font>
    <font>
      <name val="Calibri"/>
      <b val="1"/>
      <color rgb="007030A0"/>
      <sz val="10"/>
    </font>
    <font>
      <name val="Calibri"/>
      <b val="1"/>
      <color rgb="007030A0"/>
      <sz val="9"/>
    </font>
    <font>
      <name val="Calibri"/>
      <b val="1"/>
      <color rgb="007030A0"/>
      <sz val="8"/>
    </font>
    <font>
      <name val="Calibri"/>
      <b val="1"/>
      <color rgb="009DC3E6"/>
      <sz val="9"/>
    </font>
    <font>
      <name val="Calibri"/>
      <b val="1"/>
      <color rgb="009DC3E6"/>
      <sz val="8"/>
    </font>
    <font>
      <name val="Calibri"/>
      <b val="1"/>
      <color rgb="0070AD47"/>
      <sz val="9"/>
    </font>
    <font>
      <name val="Calibri"/>
      <b val="1"/>
      <color rgb="0070AD47"/>
      <sz val="8"/>
    </font>
    <font>
      <name val="Calibri"/>
      <b val="1"/>
      <color rgb="00833C00"/>
      <sz val="7"/>
    </font>
    <font>
      <name val="Calibri"/>
      <b val="1"/>
      <color rgb="00C00000"/>
      <sz val="9"/>
    </font>
    <font>
      <name val="Calibri"/>
      <b val="1"/>
      <color rgb="00C00000"/>
      <sz val="8"/>
    </font>
    <font>
      <name val="Calibri"/>
      <b val="1"/>
      <color rgb="00E36C09"/>
      <sz val="9"/>
    </font>
    <font>
      <name val="Calibri"/>
      <b val="1"/>
      <color rgb="00E36C09"/>
      <sz val="8"/>
    </font>
    <font>
      <name val="Calibri"/>
      <b val="1"/>
      <color rgb="00833C00"/>
      <sz val="9"/>
    </font>
    <font>
      <name val="Calibri"/>
      <b val="1"/>
      <color rgb="00833C00"/>
      <sz val="8"/>
    </font>
    <font>
      <name val="Calibri"/>
      <b val="1"/>
      <color rgb="00808080"/>
      <sz val="9"/>
    </font>
    <font>
      <name val="Calibri"/>
      <b val="1"/>
      <color rgb="00808080"/>
      <sz val="8"/>
    </font>
    <font>
      <name val="Calibri"/>
      <b val="1"/>
      <color rgb="00FFFFFF"/>
      <sz val="12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2E5090"/>
      <sz val="8"/>
    </font>
    <font>
      <name val="Calibri"/>
      <color rgb="00000000"/>
      <sz val="9"/>
    </font>
  </fonts>
  <fills count="27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808080"/>
      </patternFill>
    </fill>
    <fill>
      <patternFill patternType="solid">
        <fgColor rgb="00303030"/>
      </patternFill>
    </fill>
    <fill>
      <patternFill patternType="solid">
        <fgColor rgb="0040404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E8F0FD"/>
      </patternFill>
    </fill>
    <fill>
      <patternFill patternType="solid">
        <fgColor rgb="00F0F4FA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2E5090"/>
      </patternFill>
    </fill>
  </fills>
  <borders count="8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  <border>
      <left style="thin">
        <color rgb="009BC2E6"/>
      </left>
      <right style="thin">
        <color rgb="009BC2E6"/>
      </right>
      <top style="thin">
        <color rgb="009BC2E6"/>
      </top>
      <bottom style="thin">
        <color rgb="009BC2E6"/>
      </bottom>
    </border>
    <border>
      <top style="hair">
        <color rgb="00EEEEEE"/>
      </top>
      <bottom style="hair">
        <color rgb="00EEEEEE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BAA00"/>
      </left>
      <right style="thin">
        <color rgb="00BBAA00"/>
      </right>
      <top style="thin">
        <color rgb="00BBAA00"/>
      </top>
      <bottom style="thin">
        <color rgb="00BBAA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13" borderId="0" pivotButton="0" quotePrefix="0" xfId="0"/>
    <xf numFmtId="0" fontId="5" fillId="14" borderId="0" applyAlignment="1" pivotButton="0" quotePrefix="0" xfId="0">
      <alignment horizontal="center" vertical="center"/>
    </xf>
    <xf numFmtId="0" fontId="6" fillId="15" borderId="0" pivotButton="0" quotePrefix="0" xfId="0"/>
    <xf numFmtId="165" fontId="7" fillId="1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/>
    </xf>
    <xf numFmtId="0" fontId="11" fillId="16" borderId="2" applyAlignment="1" pivotButton="0" quotePrefix="0" xfId="0">
      <alignment horizontal="center" vertical="center"/>
    </xf>
    <xf numFmtId="166" fontId="12" fillId="17" borderId="3" applyAlignment="1" pivotButton="0" quotePrefix="0" xfId="0">
      <alignment horizontal="center" vertical="center"/>
    </xf>
    <xf numFmtId="167" fontId="9" fillId="16" borderId="2" applyAlignment="1" pivotButton="0" quotePrefix="0" xfId="0">
      <alignment horizontal="center" vertical="center"/>
    </xf>
    <xf numFmtId="0" fontId="13" fillId="18" borderId="2" applyAlignment="1" pivotButton="0" quotePrefix="0" xfId="0">
      <alignment horizontal="center" vertical="center"/>
    </xf>
    <xf numFmtId="0" fontId="0" fillId="15" borderId="4" pivotButton="0" quotePrefix="0" xfId="0"/>
    <xf numFmtId="0" fontId="9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166" fontId="15" fillId="17" borderId="3" applyAlignment="1" pivotButton="0" quotePrefix="0" xfId="0">
      <alignment horizontal="center" vertical="center"/>
    </xf>
    <xf numFmtId="167" fontId="9" fillId="19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left" vertical="center"/>
    </xf>
    <xf numFmtId="0" fontId="0" fillId="20" borderId="5" pivotButton="0" quotePrefix="0" xfId="0"/>
    <xf numFmtId="0" fontId="17" fillId="20" borderId="5" applyAlignment="1" pivotButton="0" quotePrefix="0" xfId="0">
      <alignment horizontal="left" vertical="center"/>
    </xf>
    <xf numFmtId="0" fontId="18" fillId="20" borderId="5" pivotButton="0" quotePrefix="0" xfId="0"/>
    <xf numFmtId="166" fontId="19" fillId="20" borderId="5" pivotButton="0" quotePrefix="0" xfId="0"/>
    <xf numFmtId="168" fontId="20" fillId="20" borderId="5" pivotButton="0" quotePrefix="0" xfId="0"/>
    <xf numFmtId="0" fontId="19" fillId="20" borderId="5" applyAlignment="1" pivotButton="0" quotePrefix="0" xfId="0">
      <alignment horizontal="center" vertical="center"/>
    </xf>
    <xf numFmtId="0" fontId="0" fillId="21" borderId="0" pivotButton="0" quotePrefix="0" xfId="0"/>
    <xf numFmtId="0" fontId="21" fillId="22" borderId="6" applyAlignment="1" pivotButton="0" quotePrefix="0" xfId="0">
      <alignment horizontal="center" vertical="center"/>
    </xf>
    <xf numFmtId="0" fontId="22" fillId="22" borderId="6" pivotButton="0" quotePrefix="0" xfId="0"/>
    <xf numFmtId="0" fontId="18" fillId="22" borderId="6" pivotButton="0" quotePrefix="0" xfId="0"/>
    <xf numFmtId="166" fontId="22" fillId="22" borderId="6" pivotButton="0" quotePrefix="0" xfId="0"/>
    <xf numFmtId="0" fontId="0" fillId="22" borderId="6" pivotButton="0" quotePrefix="0" xfId="0"/>
    <xf numFmtId="0" fontId="23" fillId="22" borderId="6" applyAlignment="1" pivotButton="0" quotePrefix="0" xfId="0">
      <alignment horizontal="center" vertical="center"/>
    </xf>
    <xf numFmtId="0" fontId="0" fillId="23" borderId="0" pivotButton="0" quotePrefix="0" xfId="0"/>
    <xf numFmtId="0" fontId="24" fillId="20" borderId="5" applyAlignment="1" pivotButton="0" quotePrefix="0" xfId="0">
      <alignment horizontal="left" vertical="center"/>
    </xf>
    <xf numFmtId="166" fontId="25" fillId="20" borderId="5" pivotButton="0" quotePrefix="0" xfId="0"/>
    <xf numFmtId="0" fontId="25" fillId="20" borderId="5" applyAlignment="1" pivotButton="0" quotePrefix="0" xfId="0">
      <alignment horizontal="center" vertical="center"/>
    </xf>
    <xf numFmtId="0" fontId="10" fillId="19" borderId="2" applyAlignment="1" pivotButton="0" quotePrefix="0" xfId="0">
      <alignment horizontal="left" vertical="center"/>
    </xf>
    <xf numFmtId="0" fontId="26" fillId="20" borderId="5" applyAlignment="1" pivotButton="0" quotePrefix="0" xfId="0">
      <alignment horizontal="left" vertical="center"/>
    </xf>
    <xf numFmtId="166" fontId="27" fillId="20" borderId="5" pivotButton="0" quotePrefix="0" xfId="0"/>
    <xf numFmtId="0" fontId="27" fillId="20" borderId="5" applyAlignment="1" pivotButton="0" quotePrefix="0" xfId="0">
      <alignment horizontal="center" vertical="center"/>
    </xf>
    <xf numFmtId="0" fontId="28" fillId="24" borderId="2" applyAlignment="1" pivotButton="0" quotePrefix="0" xfId="0">
      <alignment horizontal="center" vertical="center"/>
    </xf>
    <xf numFmtId="0" fontId="29" fillId="20" borderId="5" applyAlignment="1" pivotButton="0" quotePrefix="0" xfId="0">
      <alignment horizontal="left" vertical="center"/>
    </xf>
    <xf numFmtId="166" fontId="30" fillId="20" borderId="5" pivotButton="0" quotePrefix="0" xfId="0"/>
    <xf numFmtId="0" fontId="30" fillId="20" borderId="5" applyAlignment="1" pivotButton="0" quotePrefix="0" xfId="0">
      <alignment horizontal="center" vertical="center"/>
    </xf>
    <xf numFmtId="0" fontId="31" fillId="20" borderId="5" applyAlignment="1" pivotButton="0" quotePrefix="0" xfId="0">
      <alignment horizontal="left" vertical="center"/>
    </xf>
    <xf numFmtId="166" fontId="32" fillId="20" borderId="5" pivotButton="0" quotePrefix="0" xfId="0"/>
    <xf numFmtId="0" fontId="32" fillId="20" borderId="5" applyAlignment="1" pivotButton="0" quotePrefix="0" xfId="0">
      <alignment horizontal="center" vertical="center"/>
    </xf>
    <xf numFmtId="0" fontId="22" fillId="20" borderId="5" applyAlignment="1" pivotButton="0" quotePrefix="0" xfId="0">
      <alignment horizontal="left" vertical="center"/>
    </xf>
    <xf numFmtId="166" fontId="23" fillId="20" borderId="5" pivotButton="0" quotePrefix="0" xfId="0"/>
    <xf numFmtId="0" fontId="23" fillId="20" borderId="5" applyAlignment="1" pivotButton="0" quotePrefix="0" xfId="0">
      <alignment horizontal="center" vertical="center"/>
    </xf>
    <xf numFmtId="0" fontId="33" fillId="20" borderId="5" applyAlignment="1" pivotButton="0" quotePrefix="0" xfId="0">
      <alignment horizontal="left" vertical="center"/>
    </xf>
    <xf numFmtId="166" fontId="34" fillId="20" borderId="5" pivotButton="0" quotePrefix="0" xfId="0"/>
    <xf numFmtId="0" fontId="34" fillId="20" borderId="5" applyAlignment="1" pivotButton="0" quotePrefix="0" xfId="0">
      <alignment horizontal="center" vertical="center"/>
    </xf>
    <xf numFmtId="0" fontId="35" fillId="20" borderId="5" applyAlignment="1" pivotButton="0" quotePrefix="0" xfId="0">
      <alignment horizontal="left" vertical="center"/>
    </xf>
    <xf numFmtId="166" fontId="36" fillId="20" borderId="5" pivotButton="0" quotePrefix="0" xfId="0"/>
    <xf numFmtId="0" fontId="36" fillId="20" borderId="5" applyAlignment="1" pivotButton="0" quotePrefix="0" xfId="0">
      <alignment horizontal="center" vertical="center"/>
    </xf>
    <xf numFmtId="0" fontId="2" fillId="3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left" vertical="center"/>
    </xf>
    <xf numFmtId="0" fontId="3" fillId="4" borderId="7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38" fillId="19" borderId="7" applyAlignment="1" pivotButton="0" quotePrefix="0" xfId="0">
      <alignment horizontal="center" vertical="center"/>
    </xf>
    <xf numFmtId="0" fontId="39" fillId="19" borderId="7" applyAlignment="1" pivotButton="0" quotePrefix="0" xfId="0">
      <alignment horizontal="left" vertical="center" wrapText="1"/>
    </xf>
    <xf numFmtId="0" fontId="38" fillId="19" borderId="7" applyAlignment="1" pivotButton="0" quotePrefix="0" xfId="0">
      <alignment horizontal="left" vertical="center" wrapText="1"/>
    </xf>
    <xf numFmtId="0" fontId="40" fillId="19" borderId="7" applyAlignment="1" pivotButton="0" quotePrefix="0" xfId="0">
      <alignment horizontal="left" vertical="center" wrapText="1"/>
    </xf>
    <xf numFmtId="0" fontId="38" fillId="16" borderId="7" applyAlignment="1" pivotButton="0" quotePrefix="0" xfId="0">
      <alignment horizontal="center" vertical="center"/>
    </xf>
    <xf numFmtId="0" fontId="39" fillId="16" borderId="7" applyAlignment="1" pivotButton="0" quotePrefix="0" xfId="0">
      <alignment horizontal="left" vertical="center" wrapText="1"/>
    </xf>
    <xf numFmtId="0" fontId="38" fillId="16" borderId="7" applyAlignment="1" pivotButton="0" quotePrefix="0" xfId="0">
      <alignment horizontal="left" vertical="center" wrapText="1"/>
    </xf>
    <xf numFmtId="0" fontId="40" fillId="16" borderId="7" applyAlignment="1" pivotButton="0" quotePrefix="0" xfId="0">
      <alignment horizontal="left" vertical="center" wrapText="1"/>
    </xf>
    <xf numFmtId="0" fontId="34" fillId="19" borderId="7" applyAlignment="1" pivotButton="0" quotePrefix="0" xfId="0">
      <alignment horizontal="left" vertical="center" wrapText="1"/>
    </xf>
    <xf numFmtId="0" fontId="34" fillId="16" borderId="7" applyAlignment="1" pivotButton="0" quotePrefix="0" xfId="0">
      <alignment horizontal="left" vertical="center" wrapText="1"/>
    </xf>
    <xf numFmtId="0" fontId="41" fillId="19" borderId="7" applyAlignment="1" pivotButton="0" quotePrefix="0" xfId="0">
      <alignment horizontal="left" vertical="center" wrapText="1"/>
    </xf>
    <xf numFmtId="0" fontId="22" fillId="16" borderId="7" applyAlignment="1" pivotButton="0" quotePrefix="0" xfId="0">
      <alignment horizontal="left" vertical="center" wrapText="1"/>
    </xf>
    <xf numFmtId="0" fontId="42" fillId="16" borderId="7" applyAlignment="1" pivotButton="0" quotePrefix="0" xfId="0">
      <alignment horizontal="left" vertical="center" wrapText="1"/>
    </xf>
    <xf numFmtId="0" fontId="22" fillId="19" borderId="7" applyAlignment="1" pivotButton="0" quotePrefix="0" xfId="0">
      <alignment horizontal="left" vertical="center" wrapText="1"/>
    </xf>
    <xf numFmtId="0" fontId="42" fillId="19" borderId="7" applyAlignment="1" pivotButton="0" quotePrefix="0" xfId="0">
      <alignment horizontal="left" vertical="center" wrapText="1"/>
    </xf>
    <xf numFmtId="0" fontId="8" fillId="4" borderId="0" pivotButton="0" quotePrefix="0" xfId="0"/>
    <xf numFmtId="0" fontId="3" fillId="26" borderId="7" applyAlignment="1" pivotButton="0" quotePrefix="0" xfId="0">
      <alignment horizontal="center" vertical="center"/>
    </xf>
    <xf numFmtId="0" fontId="10" fillId="19" borderId="7" applyAlignment="1" pivotButton="0" quotePrefix="0" xfId="0">
      <alignment horizontal="left" vertical="center"/>
    </xf>
    <xf numFmtId="0" fontId="42" fillId="22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center" vertical="center"/>
    </xf>
    <xf numFmtId="0" fontId="42" fillId="3" borderId="7" applyAlignment="1" pivotButton="0" quotePrefix="0" xfId="0">
      <alignment horizontal="center" vertical="center"/>
    </xf>
    <xf numFmtId="0" fontId="42" fillId="16" borderId="7" applyAlignment="1" pivotButton="0" quotePrefix="0" xfId="0">
      <alignment horizontal="center" vertical="center"/>
    </xf>
    <xf numFmtId="0" fontId="10" fillId="16" borderId="7" applyAlignment="1" pivotButton="0" quotePrefix="0" xfId="0">
      <alignment horizontal="left" vertical="center"/>
    </xf>
    <xf numFmtId="0" fontId="42" fillId="18" borderId="7" applyAlignment="1" pivotButton="0" quotePrefix="0" xfId="0">
      <alignment horizontal="center" vertical="center"/>
    </xf>
    <xf numFmtId="0" fontId="18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D7D31"/>
        </patternFill>
      </fill>
    </dxf>
    <dxf>
      <fill>
        <patternFill patternType="solid">
          <fgColor rgb="004472C4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36C09"/>
        </patternFill>
      </fill>
    </dxf>
    <dxf>
      <fill>
        <patternFill patternType="solid">
          <fgColor rgb="00833C00"/>
        </patternFill>
      </fill>
    </dxf>
    <dxf>
      <fill>
        <patternFill patternType="solid">
          <fgColor rgb="008080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9"/>
  <sheetViews>
    <sheetView showGridLines="0" workbookViewId="0">
      <pane xSplit="7" ySplit="6" topLeftCell="H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11" customWidth="1" min="4" max="4"/>
    <col width="11" customWidth="1" min="5" max="5"/>
    <col width="10" customWidth="1" min="6" max="6"/>
    <col width="10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36" customHeight="1">
      <c r="A1" s="1" t="inlineStr">
        <is>
          <t xml:space="preserve">  ORACLE EPM CLOUD — WORKFORCE PLANNING &amp; OPEX G&amp;A  |  RELEASE 1a DELIVERY PLAN  |  2025</t>
        </is>
      </c>
    </row>
    <row r="2" ht="14" customHeight="1">
      <c r="A2" s="2" t="inlineStr">
        <is>
          <t xml:space="preserve">  ✏  Start / End dates in columns D &amp; E are EDITABLE (shown in blue) — Gantt bars update automatically  |  ▲ = Milestone Gate  |  ▼ = TODAY marker</t>
        </is>
      </c>
    </row>
    <row r="3" ht="22" customHeight="1">
      <c r="A3" s="3" t="inlineStr">
        <is>
          <t xml:space="preserve">  DELIVERY PHASES</t>
        </is>
      </c>
      <c r="H3" s="4" t="inlineStr">
        <is>
          <t>Design &amp; Align</t>
        </is>
      </c>
      <c r="I3" s="5" t="inlineStr">
        <is>
          <t>POC</t>
        </is>
      </c>
      <c r="J3" s="6" t="n"/>
      <c r="K3" s="6" t="n"/>
      <c r="L3" s="7" t="inlineStr">
        <is>
          <t>Build S1-S4</t>
        </is>
      </c>
      <c r="M3" s="8" t="n"/>
      <c r="N3" s="8" t="n"/>
      <c r="O3" s="8" t="n"/>
      <c r="P3" s="8" t="n"/>
      <c r="Q3" s="8" t="n"/>
      <c r="R3" s="8" t="n"/>
      <c r="S3" s="8" t="n"/>
      <c r="T3" s="9" t="inlineStr">
        <is>
          <t>SIT</t>
        </is>
      </c>
      <c r="U3" s="10" t="inlineStr">
        <is>
          <t>UAT</t>
        </is>
      </c>
      <c r="V3" s="11" t="n"/>
      <c r="W3" s="12" t="inlineStr">
        <is>
          <t>Go-Live</t>
        </is>
      </c>
      <c r="X3" s="13" t="inlineStr">
        <is>
          <t>Parallel Run</t>
        </is>
      </c>
      <c r="Y3" s="14" t="n"/>
      <c r="Z3" s="14" t="n"/>
      <c r="AA3" s="14" t="n"/>
      <c r="AB3" s="15" t="inlineStr">
        <is>
          <t>Evolve</t>
        </is>
      </c>
      <c r="AC3" s="16" t="n"/>
    </row>
    <row r="4" ht="13" customHeight="1">
      <c r="A4" s="17" t="inlineStr">
        <is>
          <t xml:space="preserve">  Phases, Workstreams &amp; Tasks</t>
        </is>
      </c>
      <c r="H4" s="18" t="inlineStr">
        <is>
          <t>2025</t>
        </is>
      </c>
    </row>
    <row r="5" ht="14" customHeight="1">
      <c r="A5" s="19" t="n"/>
      <c r="H5" s="20" t="inlineStr">
        <is>
          <t>Jan</t>
        </is>
      </c>
      <c r="J5" s="20" t="inlineStr">
        <is>
          <t>Feb</t>
        </is>
      </c>
      <c r="L5" s="20" t="inlineStr">
        <is>
          <t>Mar</t>
        </is>
      </c>
      <c r="O5" s="20" t="inlineStr">
        <is>
          <t>Apr</t>
        </is>
      </c>
      <c r="Q5" s="20" t="inlineStr">
        <is>
          <t>May</t>
        </is>
      </c>
      <c r="S5" s="20" t="inlineStr">
        <is>
          <t>Jun</t>
        </is>
      </c>
      <c r="U5" s="20" t="inlineStr">
        <is>
          <t>Jul</t>
        </is>
      </c>
      <c r="W5" s="20" t="inlineStr">
        <is>
          <t>Aug</t>
        </is>
      </c>
      <c r="Y5" s="20" t="inlineStr">
        <is>
          <t>Sep</t>
        </is>
      </c>
      <c r="AB5" s="20" t="inlineStr">
        <is>
          <t>Oct</t>
        </is>
      </c>
      <c r="AD5" s="20" t="inlineStr">
        <is>
          <t>Nov</t>
        </is>
      </c>
    </row>
    <row r="6" ht="12" customHeight="1">
      <c r="A6" s="21" t="inlineStr">
        <is>
          <t xml:space="preserve">  ↳ period-start dates (formula reference)</t>
        </is>
      </c>
      <c r="H6" s="22" t="n">
        <v>45663</v>
      </c>
      <c r="I6" s="22" t="n">
        <v>45677</v>
      </c>
      <c r="J6" s="22" t="n">
        <v>45691</v>
      </c>
      <c r="K6" s="22" t="n">
        <v>45705</v>
      </c>
      <c r="L6" s="22" t="n">
        <v>45719</v>
      </c>
      <c r="M6" s="22" t="n">
        <v>45733</v>
      </c>
      <c r="N6" s="22" t="n">
        <v>45747</v>
      </c>
      <c r="O6" s="22" t="n">
        <v>45761</v>
      </c>
      <c r="P6" s="22" t="n">
        <v>45775</v>
      </c>
      <c r="Q6" s="22" t="n">
        <v>45789</v>
      </c>
      <c r="R6" s="22" t="n">
        <v>45803</v>
      </c>
      <c r="S6" s="22" t="n">
        <v>45817</v>
      </c>
      <c r="T6" s="22" t="n">
        <v>45831</v>
      </c>
      <c r="U6" s="22" t="n">
        <v>45845</v>
      </c>
      <c r="V6" s="22" t="n">
        <v>45859</v>
      </c>
      <c r="W6" s="22" t="n">
        <v>45873</v>
      </c>
      <c r="X6" s="22" t="n">
        <v>45887</v>
      </c>
      <c r="Y6" s="22" t="n">
        <v>45901</v>
      </c>
      <c r="Z6" s="22" t="n">
        <v>45915</v>
      </c>
      <c r="AA6" s="22" t="n">
        <v>45929</v>
      </c>
      <c r="AB6" s="22" t="n">
        <v>45943</v>
      </c>
      <c r="AC6" s="22" t="n">
        <v>45957</v>
      </c>
      <c r="AD6" s="22" t="n">
        <v>45971</v>
      </c>
    </row>
    <row r="7" ht="18" customHeight="1">
      <c r="A7" s="23" t="inlineStr">
        <is>
          <t>#</t>
        </is>
      </c>
      <c r="B7" s="23" t="inlineStr">
        <is>
          <t>Phase / Workstream / Task</t>
        </is>
      </c>
      <c r="C7" s="23" t="inlineStr">
        <is>
          <t>Owner / DRI</t>
        </is>
      </c>
      <c r="D7" s="23" t="inlineStr">
        <is>
          <t>Start</t>
        </is>
      </c>
      <c r="E7" s="23" t="inlineStr">
        <is>
          <t>End</t>
        </is>
      </c>
      <c r="F7" s="23" t="inlineStr">
        <is>
          <t>Duration</t>
        </is>
      </c>
      <c r="G7" s="23" t="inlineStr">
        <is>
          <t>Status</t>
        </is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</row>
    <row r="8" ht="20" customHeight="1">
      <c r="A8" s="25" t="inlineStr">
        <is>
          <t xml:space="preserve">  FY27 BUSINESS PLANNING CYCLE  —  PARALLEL TRACK (Current System)</t>
        </is>
      </c>
    </row>
    <row r="9" ht="14" customHeight="1">
      <c r="A9" s="26" t="n">
        <v>1</v>
      </c>
      <c r="B9" s="27" t="inlineStr">
        <is>
          <t>Annual planning — current system config, data clean-up &amp; optimization</t>
        </is>
      </c>
      <c r="C9" s="28" t="inlineStr">
        <is>
          <t>Finance / IT</t>
        </is>
      </c>
      <c r="D9" s="29" t="n">
        <v>45663</v>
      </c>
      <c r="E9" s="29" t="n">
        <v>46022</v>
      </c>
      <c r="F9" s="30">
        <f>IF(AND(D9&lt;&gt;"",E9&lt;&gt;""),E9-D9,"")</f>
        <v/>
      </c>
      <c r="G9" s="31" t="inlineStr">
        <is>
          <t>Active</t>
        </is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</row>
    <row r="10" ht="14" customHeight="1">
      <c r="A10" s="33" t="n">
        <v>2</v>
      </c>
      <c r="B10" s="34" t="inlineStr">
        <is>
          <t xml:space="preserve">      Planning Guidance Playbook &amp; System Preparation</t>
        </is>
      </c>
      <c r="C10" s="35" t="inlineStr">
        <is>
          <t>Mgr. FP&amp;A</t>
        </is>
      </c>
      <c r="D10" s="36" t="n">
        <v>45810</v>
      </c>
      <c r="E10" s="36" t="n">
        <v>45926</v>
      </c>
      <c r="F10" s="37">
        <f>IF(AND(D10&lt;&gt;"",E10&lt;&gt;""),E10-D10,"")</f>
        <v/>
      </c>
      <c r="G10" s="38" t="inlineStr">
        <is>
          <t>Planned</t>
        </is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</row>
    <row r="11" ht="14" customHeight="1">
      <c r="A11" s="26" t="n">
        <v>3</v>
      </c>
      <c r="B11" s="39" t="inlineStr">
        <is>
          <t xml:space="preserve">      Dept. Budget Submissions</t>
        </is>
      </c>
      <c r="C11" s="28" t="inlineStr">
        <is>
          <t>Dept. Finance Leads</t>
        </is>
      </c>
      <c r="D11" s="36" t="n">
        <v>45931</v>
      </c>
      <c r="E11" s="36" t="n">
        <v>45961</v>
      </c>
      <c r="F11" s="30">
        <f>IF(AND(D11&lt;&gt;"",E11&lt;&gt;""),E11-D11,"")</f>
        <v/>
      </c>
      <c r="G11" s="38" t="inlineStr">
        <is>
          <t>Planned</t>
        </is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</row>
    <row r="12" ht="14" customHeight="1">
      <c r="A12" s="33" t="n">
        <v>4</v>
      </c>
      <c r="B12" s="34" t="inlineStr">
        <is>
          <t xml:space="preserve">      Reviews, Iterations &amp; Consolidation</t>
        </is>
      </c>
      <c r="C12" s="35" t="inlineStr">
        <is>
          <t>CFO / FP&amp;A</t>
        </is>
      </c>
      <c r="D12" s="36" t="n">
        <v>45964</v>
      </c>
      <c r="E12" s="36" t="n">
        <v>46010</v>
      </c>
      <c r="F12" s="37">
        <f>IF(AND(D12&lt;&gt;"",E12&lt;&gt;""),E12-D12,"")</f>
        <v/>
      </c>
      <c r="G12" s="38" t="inlineStr">
        <is>
          <t>Planned</t>
        </is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</row>
    <row r="13" ht="20" customHeight="1">
      <c r="A13" s="25" t="inlineStr">
        <is>
          <t xml:space="preserve">  RELEASE 1a  —  ORACLE EPM WFP (Workforce Planning) &amp; OPEX: G&amp;A Expenses (FS)</t>
        </is>
      </c>
    </row>
    <row r="14" ht="17" customHeight="1">
      <c r="A14" s="40" t="inlineStr"/>
      <c r="B14" s="41" t="inlineStr">
        <is>
          <t>PHASE 1 — DESIGN &amp; ALIGN  (January – February)</t>
        </is>
      </c>
      <c r="C14" s="42" t="inlineStr">
        <is>
          <t>PwC / Finance</t>
        </is>
      </c>
      <c r="D14" s="43" t="n">
        <v>45663</v>
      </c>
      <c r="E14" s="43" t="n">
        <v>45716</v>
      </c>
      <c r="F14" s="44">
        <f>(E14-D14)</f>
        <v/>
      </c>
      <c r="G14" s="45" t="inlineStr">
        <is>
          <t>Complete</t>
        </is>
      </c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</row>
    <row r="15" ht="14" customHeight="1">
      <c r="A15" s="26" t="n">
        <v>5</v>
      </c>
      <c r="B15" s="27" t="inlineStr">
        <is>
          <t>1.1  Program Governance &amp; Mobilization</t>
        </is>
      </c>
      <c r="C15" s="28" t="inlineStr">
        <is>
          <t>PwC PMO</t>
        </is>
      </c>
      <c r="D15" s="29" t="n">
        <v>45663</v>
      </c>
      <c r="E15" s="29" t="n">
        <v>45674</v>
      </c>
      <c r="F15" s="30">
        <f>IF(AND(D15&lt;&gt;"",E15&lt;&gt;""),E15-D15,"")</f>
        <v/>
      </c>
      <c r="G15" s="31" t="inlineStr">
        <is>
          <t>Complete</t>
        </is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</row>
    <row r="16" ht="14" customHeight="1">
      <c r="A16" s="33" t="n">
        <v>6</v>
      </c>
      <c r="B16" s="34" t="inlineStr">
        <is>
          <t xml:space="preserve">      Project charter, scope baseline &amp; RACI matrix</t>
        </is>
      </c>
      <c r="C16" s="35" t="inlineStr">
        <is>
          <t>PwC PMO / Sponsor</t>
        </is>
      </c>
      <c r="D16" s="36" t="n">
        <v>45663</v>
      </c>
      <c r="E16" s="36" t="n">
        <v>45667</v>
      </c>
      <c r="F16" s="37">
        <f>IF(AND(D16&lt;&gt;"",E16&lt;&gt;""),E16-D16,"")</f>
        <v/>
      </c>
      <c r="G16" s="31" t="inlineStr">
        <is>
          <t>Complete</t>
        </is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</row>
    <row r="17" ht="14" customHeight="1">
      <c r="A17" s="26" t="n">
        <v>7</v>
      </c>
      <c r="B17" s="39" t="inlineStr">
        <is>
          <t xml:space="preserve">      Program governance framework — SteerCo, workstream cadence</t>
        </is>
      </c>
      <c r="C17" s="28" t="inlineStr">
        <is>
          <t>PwC PMO</t>
        </is>
      </c>
      <c r="D17" s="36" t="n">
        <v>45663</v>
      </c>
      <c r="E17" s="36" t="n">
        <v>45667</v>
      </c>
      <c r="F17" s="30">
        <f>IF(AND(D17&lt;&gt;"",E17&lt;&gt;""),E17-D17,"")</f>
        <v/>
      </c>
      <c r="G17" s="31" t="inlineStr">
        <is>
          <t>Complete</t>
        </is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</row>
    <row r="18" ht="14" customHeight="1">
      <c r="A18" s="33" t="n">
        <v>8</v>
      </c>
      <c r="B18" s="34" t="inlineStr">
        <is>
          <t xml:space="preserve">      Risk &amp; issue register (RAID log) setup</t>
        </is>
      </c>
      <c r="C18" s="35" t="inlineStr">
        <is>
          <t>PwC PMO</t>
        </is>
      </c>
      <c r="D18" s="36" t="n">
        <v>45663</v>
      </c>
      <c r="E18" s="36" t="n">
        <v>45667</v>
      </c>
      <c r="F18" s="37">
        <f>IF(AND(D18&lt;&gt;"",E18&lt;&gt;""),E18-D18,"")</f>
        <v/>
      </c>
      <c r="G18" s="31" t="inlineStr">
        <is>
          <t>Complete</t>
        </is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</row>
    <row r="19" ht="14" customHeight="1">
      <c r="A19" s="26" t="n">
        <v>9</v>
      </c>
      <c r="B19" s="39" t="inlineStr">
        <is>
          <t xml:space="preserve">      Instance Management Strategy — DEV / TEST / UAT / PROD</t>
        </is>
      </c>
      <c r="C19" s="28" t="inlineStr">
        <is>
          <t>PwC / IT</t>
        </is>
      </c>
      <c r="D19" s="36" t="n">
        <v>45670</v>
      </c>
      <c r="E19" s="36" t="n">
        <v>45674</v>
      </c>
      <c r="F19" s="30">
        <f>IF(AND(D19&lt;&gt;"",E19&lt;&gt;""),E19-D19,"")</f>
        <v/>
      </c>
      <c r="G19" s="31" t="inlineStr">
        <is>
          <t>Complete</t>
        </is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</row>
    <row r="20" ht="14" customHeight="1">
      <c r="A20" s="33" t="n">
        <v>10</v>
      </c>
      <c r="B20" s="34" t="inlineStr">
        <is>
          <t xml:space="preserve">      Change control process &amp; baseline freeze protocol</t>
        </is>
      </c>
      <c r="C20" s="35" t="inlineStr">
        <is>
          <t>PwC PMO</t>
        </is>
      </c>
      <c r="D20" s="36" t="n">
        <v>45670</v>
      </c>
      <c r="E20" s="36" t="n">
        <v>45674</v>
      </c>
      <c r="F20" s="37">
        <f>IF(AND(D20&lt;&gt;"",E20&lt;&gt;""),E20-D20,"")</f>
        <v/>
      </c>
      <c r="G20" s="31" t="inlineStr">
        <is>
          <t>Complete</t>
        </is>
      </c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</row>
    <row r="21" ht="14" customHeight="1">
      <c r="A21" s="26" t="n">
        <v>11</v>
      </c>
      <c r="B21" s="27" t="inlineStr">
        <is>
          <t>1.2  Stakeholder Discovery &amp; Current-State Assessment</t>
        </is>
      </c>
      <c r="C21" s="28" t="inlineStr">
        <is>
          <t>PwC</t>
        </is>
      </c>
      <c r="D21" s="29" t="n">
        <v>45670</v>
      </c>
      <c r="E21" s="29" t="n">
        <v>45695</v>
      </c>
      <c r="F21" s="30">
        <f>IF(AND(D21&lt;&gt;"",E21&lt;&gt;""),E21-D21,"")</f>
        <v/>
      </c>
      <c r="G21" s="31" t="inlineStr">
        <is>
          <t>Complete</t>
        </is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</row>
    <row r="22" ht="14" customHeight="1">
      <c r="A22" s="33" t="n">
        <v>12</v>
      </c>
      <c r="B22" s="34" t="inlineStr">
        <is>
          <t xml:space="preserve">      CFO / FP&amp;A discovery — planning process, pain points, success criteria</t>
        </is>
      </c>
      <c r="C22" s="35" t="inlineStr">
        <is>
          <t>PwC</t>
        </is>
      </c>
      <c r="D22" s="36" t="n">
        <v>45670</v>
      </c>
      <c r="E22" s="36" t="n">
        <v>45674</v>
      </c>
      <c r="F22" s="37">
        <f>IF(AND(D22&lt;&gt;"",E22&lt;&gt;""),E22-D22,"")</f>
        <v/>
      </c>
      <c r="G22" s="31" t="inlineStr">
        <is>
          <t>Complete</t>
        </is>
      </c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</row>
    <row r="23" ht="14" customHeight="1">
      <c r="A23" s="26" t="n">
        <v>13</v>
      </c>
      <c r="B23" s="39" t="inlineStr">
        <is>
          <t xml:space="preserve">      HR / HRBP discovery — position master, org structure, HRIS data quality</t>
        </is>
      </c>
      <c r="C23" s="28" t="inlineStr">
        <is>
          <t>PwC</t>
        </is>
      </c>
      <c r="D23" s="36" t="n">
        <v>45670</v>
      </c>
      <c r="E23" s="36" t="n">
        <v>45674</v>
      </c>
      <c r="F23" s="30">
        <f>IF(AND(D23&lt;&gt;"",E23&lt;&gt;""),E23-D23,"")</f>
        <v/>
      </c>
      <c r="G23" s="31" t="inlineStr">
        <is>
          <t>Complete</t>
        </is>
      </c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</row>
    <row r="24" ht="14" customHeight="1">
      <c r="A24" s="33" t="n">
        <v>14</v>
      </c>
      <c r="B24" s="34" t="inlineStr">
        <is>
          <t xml:space="preserve">      IT / Architecture discovery — integration landscape, data volumes, security</t>
        </is>
      </c>
      <c r="C24" s="35" t="inlineStr">
        <is>
          <t>PwC</t>
        </is>
      </c>
      <c r="D24" s="36" t="n">
        <v>45677</v>
      </c>
      <c r="E24" s="36" t="n">
        <v>45681</v>
      </c>
      <c r="F24" s="37">
        <f>IF(AND(D24&lt;&gt;"",E24&lt;&gt;""),E24-D24,"")</f>
        <v/>
      </c>
      <c r="G24" s="31" t="inlineStr">
        <is>
          <t>Complete</t>
        </is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</row>
    <row r="25" ht="14" customHeight="1">
      <c r="A25" s="26" t="n">
        <v>15</v>
      </c>
      <c r="B25" s="39" t="inlineStr">
        <is>
          <t xml:space="preserve">      Dept. Finance leads — budget process, OPEX cost drivers, reporting needs</t>
        </is>
      </c>
      <c r="C25" s="28" t="inlineStr">
        <is>
          <t>PwC</t>
        </is>
      </c>
      <c r="D25" s="36" t="n">
        <v>45677</v>
      </c>
      <c r="E25" s="36" t="n">
        <v>45688</v>
      </c>
      <c r="F25" s="30">
        <f>IF(AND(D25&lt;&gt;"",E25&lt;&gt;""),E25-D25,"")</f>
        <v/>
      </c>
      <c r="G25" s="31" t="inlineStr">
        <is>
          <t>Complete</t>
        </is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</row>
    <row r="26" ht="14" customHeight="1">
      <c r="A26" s="33" t="n">
        <v>16</v>
      </c>
      <c r="B26" s="34" t="inlineStr">
        <is>
          <t xml:space="preserve">      As-is process maps — WFP, headcount budgeting, OPEX planning</t>
        </is>
      </c>
      <c r="C26" s="35" t="inlineStr">
        <is>
          <t>PwC</t>
        </is>
      </c>
      <c r="D26" s="36" t="n">
        <v>45684</v>
      </c>
      <c r="E26" s="36" t="n">
        <v>45695</v>
      </c>
      <c r="F26" s="37">
        <f>IF(AND(D26&lt;&gt;"",E26&lt;&gt;""),E26-D26,"")</f>
        <v/>
      </c>
      <c r="G26" s="31" t="inlineStr">
        <is>
          <t>Complete</t>
        </is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</row>
    <row r="27" ht="14" customHeight="1">
      <c r="A27" s="26" t="n">
        <v>17</v>
      </c>
      <c r="B27" s="39" t="inlineStr">
        <is>
          <t xml:space="preserve">      Legacy tool / spreadsheet inventory &amp; gap analysis</t>
        </is>
      </c>
      <c r="C27" s="28" t="inlineStr">
        <is>
          <t>PwC</t>
        </is>
      </c>
      <c r="D27" s="36" t="n">
        <v>45684</v>
      </c>
      <c r="E27" s="36" t="n">
        <v>45695</v>
      </c>
      <c r="F27" s="30">
        <f>IF(AND(D27&lt;&gt;"",E27&lt;&gt;""),E27-D27,"")</f>
        <v/>
      </c>
      <c r="G27" s="31" t="inlineStr">
        <is>
          <t>Complete</t>
        </is>
      </c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</row>
    <row r="28" ht="14" customHeight="1">
      <c r="A28" s="33" t="n">
        <v>18</v>
      </c>
      <c r="B28" s="34" t="inlineStr">
        <is>
          <t xml:space="preserve">      Data quality assessment — position, compensation, org hierarchy</t>
        </is>
      </c>
      <c r="C28" s="35" t="inlineStr">
        <is>
          <t>PwC / IT</t>
        </is>
      </c>
      <c r="D28" s="36" t="n">
        <v>45684</v>
      </c>
      <c r="E28" s="36" t="n">
        <v>45695</v>
      </c>
      <c r="F28" s="37">
        <f>IF(AND(D28&lt;&gt;"",E28&lt;&gt;""),E28-D28,"")</f>
        <v/>
      </c>
      <c r="G28" s="31" t="inlineStr">
        <is>
          <t>Complete</t>
        </is>
      </c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</row>
    <row r="29" ht="14" customHeight="1">
      <c r="A29" s="26" t="n">
        <v>19</v>
      </c>
      <c r="B29" s="27" t="inlineStr">
        <is>
          <t>1.3  Requirements &amp; Future-State Architecture</t>
        </is>
      </c>
      <c r="C29" s="28" t="inlineStr">
        <is>
          <t>PwC</t>
        </is>
      </c>
      <c r="D29" s="29" t="n">
        <v>45684</v>
      </c>
      <c r="E29" s="29" t="n">
        <v>45709</v>
      </c>
      <c r="F29" s="30">
        <f>IF(AND(D29&lt;&gt;"",E29&lt;&gt;""),E29-D29,"")</f>
        <v/>
      </c>
      <c r="G29" s="31" t="inlineStr">
        <is>
          <t>Complete</t>
        </is>
      </c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</row>
    <row r="30" ht="14" customHeight="1">
      <c r="A30" s="33" t="n">
        <v>20</v>
      </c>
      <c r="B30" s="34" t="inlineStr">
        <is>
          <t xml:space="preserve">      Requirements Traceability Matrix (RTM) — WFP &amp; OPEX G&amp;A</t>
        </is>
      </c>
      <c r="C30" s="35" t="inlineStr">
        <is>
          <t>PwC</t>
        </is>
      </c>
      <c r="D30" s="36" t="n">
        <v>45684</v>
      </c>
      <c r="E30" s="36" t="n">
        <v>45695</v>
      </c>
      <c r="F30" s="37">
        <f>IF(AND(D30&lt;&gt;"",E30&lt;&gt;""),E30-D30,"")</f>
        <v/>
      </c>
      <c r="G30" s="31" t="inlineStr">
        <is>
          <t>Complete</t>
        </is>
      </c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</row>
    <row r="31" ht="14" customHeight="1">
      <c r="A31" s="26" t="n">
        <v>21</v>
      </c>
      <c r="B31" s="39" t="inlineStr">
        <is>
          <t xml:space="preserve">      Future-State Architecture document — WFP module design</t>
        </is>
      </c>
      <c r="C31" s="28" t="inlineStr">
        <is>
          <t>PwC</t>
        </is>
      </c>
      <c r="D31" s="36" t="n">
        <v>45691</v>
      </c>
      <c r="E31" s="36" t="n">
        <v>45702</v>
      </c>
      <c r="F31" s="30">
        <f>IF(AND(D31&lt;&gt;"",E31&lt;&gt;""),E31-D31,"")</f>
        <v/>
      </c>
      <c r="G31" s="31" t="inlineStr">
        <is>
          <t>Complete</t>
        </is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</row>
    <row r="32" ht="14" customHeight="1">
      <c r="A32" s="33" t="n">
        <v>22</v>
      </c>
      <c r="B32" s="34" t="inlineStr">
        <is>
          <t xml:space="preserve">      Future-State Architecture document — OPEX G&amp;A (FS) module</t>
        </is>
      </c>
      <c r="C32" s="35" t="inlineStr">
        <is>
          <t>PwC / Finance</t>
        </is>
      </c>
      <c r="D32" s="36" t="n">
        <v>45691</v>
      </c>
      <c r="E32" s="36" t="n">
        <v>45702</v>
      </c>
      <c r="F32" s="37">
        <f>IF(AND(D32&lt;&gt;"",E32&lt;&gt;""),E32-D32,"")</f>
        <v/>
      </c>
      <c r="G32" s="31" t="inlineStr">
        <is>
          <t>Complete</t>
        </is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</row>
    <row r="33" ht="14" customHeight="1">
      <c r="A33" s="26" t="n">
        <v>23</v>
      </c>
      <c r="B33" s="39" t="inlineStr">
        <is>
          <t xml:space="preserve">      Key Design Decisions (KDD) log — 25+ decisions captured &amp; signed off</t>
        </is>
      </c>
      <c r="C33" s="28" t="inlineStr">
        <is>
          <t>PwC / Sponsor</t>
        </is>
      </c>
      <c r="D33" s="36" t="n">
        <v>45691</v>
      </c>
      <c r="E33" s="36" t="n">
        <v>45702</v>
      </c>
      <c r="F33" s="30">
        <f>IF(AND(D33&lt;&gt;"",E33&lt;&gt;""),E33-D33,"")</f>
        <v/>
      </c>
      <c r="G33" s="31" t="inlineStr">
        <is>
          <t>Complete</t>
        </is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</row>
    <row r="34" ht="14" customHeight="1">
      <c r="A34" s="33" t="n">
        <v>24</v>
      </c>
      <c r="B34" s="34" t="inlineStr">
        <is>
          <t xml:space="preserve">      RICE prioritization — backlog scoring (Reach, Impact, Confidence, Effort)</t>
        </is>
      </c>
      <c r="C34" s="35" t="inlineStr">
        <is>
          <t>PwC PMO</t>
        </is>
      </c>
      <c r="D34" s="36" t="n">
        <v>45698</v>
      </c>
      <c r="E34" s="36" t="n">
        <v>45702</v>
      </c>
      <c r="F34" s="37">
        <f>IF(AND(D34&lt;&gt;"",E34&lt;&gt;""),E34-D34,"")</f>
        <v/>
      </c>
      <c r="G34" s="31" t="inlineStr">
        <is>
          <t>Complete</t>
        </is>
      </c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</row>
    <row r="35" ht="14" customHeight="1">
      <c r="A35" s="26" t="n">
        <v>25</v>
      </c>
      <c r="B35" s="39" t="inlineStr">
        <is>
          <t xml:space="preserve">      Configuration Workbook — dimension register, metadata specs</t>
        </is>
      </c>
      <c r="C35" s="28" t="inlineStr">
        <is>
          <t>PwC</t>
        </is>
      </c>
      <c r="D35" s="36" t="n">
        <v>45698</v>
      </c>
      <c r="E35" s="36" t="n">
        <v>45709</v>
      </c>
      <c r="F35" s="30">
        <f>IF(AND(D35&lt;&gt;"",E35&lt;&gt;""),E35-D35,"")</f>
        <v/>
      </c>
      <c r="G35" s="31" t="inlineStr">
        <is>
          <t>Complete</t>
        </is>
      </c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</row>
    <row r="36" ht="14" customHeight="1">
      <c r="A36" s="33" t="n">
        <v>26</v>
      </c>
      <c r="B36" s="34" t="inlineStr">
        <is>
          <t xml:space="preserve">      BOR / ICP framework design — below-the-line ICP, allocation keys</t>
        </is>
      </c>
      <c r="C36" s="35" t="inlineStr">
        <is>
          <t>PwC / CFO</t>
        </is>
      </c>
      <c r="D36" s="36" t="n">
        <v>45698</v>
      </c>
      <c r="E36" s="36" t="n">
        <v>45709</v>
      </c>
      <c r="F36" s="37">
        <f>IF(AND(D36&lt;&gt;"",E36&lt;&gt;""),E36-D36,"")</f>
        <v/>
      </c>
      <c r="G36" s="31" t="inlineStr">
        <is>
          <t>Complete</t>
        </is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</row>
    <row r="37" ht="14" customHeight="1">
      <c r="A37" s="26" t="n">
        <v>27</v>
      </c>
      <c r="B37" s="39" t="inlineStr">
        <is>
          <t xml:space="preserve">      Integration architecture design — HRIS→EPM, ERP GL→EPM, EPM Automate</t>
        </is>
      </c>
      <c r="C37" s="28" t="inlineStr">
        <is>
          <t>PwC / IT</t>
        </is>
      </c>
      <c r="D37" s="36" t="n">
        <v>45698</v>
      </c>
      <c r="E37" s="36" t="n">
        <v>45709</v>
      </c>
      <c r="F37" s="30">
        <f>IF(AND(D37&lt;&gt;"",E37&lt;&gt;""),E37-D37,"")</f>
        <v/>
      </c>
      <c r="G37" s="31" t="inlineStr">
        <is>
          <t>Complete</t>
        </is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</row>
    <row r="38" ht="14" customHeight="1">
      <c r="A38" s="33" t="n">
        <v>28</v>
      </c>
      <c r="B38" s="34" t="inlineStr">
        <is>
          <t xml:space="preserve">      Security &amp; access design — job roles, data access filters, SSO</t>
        </is>
      </c>
      <c r="C38" s="35" t="inlineStr">
        <is>
          <t>PwC / IT Sec</t>
        </is>
      </c>
      <c r="D38" s="36" t="n">
        <v>45705</v>
      </c>
      <c r="E38" s="36" t="n">
        <v>45709</v>
      </c>
      <c r="F38" s="37">
        <f>IF(AND(D38&lt;&gt;"",E38&lt;&gt;""),E38-D38,"")</f>
        <v/>
      </c>
      <c r="G38" s="31" t="inlineStr">
        <is>
          <t>Complete</t>
        </is>
      </c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</row>
    <row r="39" ht="14" customHeight="1">
      <c r="A39" s="26" t="n">
        <v>29</v>
      </c>
      <c r="B39" s="39" t="inlineStr">
        <is>
          <t xml:space="preserve">      Calculation rules specification — 20 rules (5 standard + 15 Groovy)</t>
        </is>
      </c>
      <c r="C39" s="28" t="inlineStr">
        <is>
          <t>PwC</t>
        </is>
      </c>
      <c r="D39" s="36" t="n">
        <v>45705</v>
      </c>
      <c r="E39" s="36" t="n">
        <v>45709</v>
      </c>
      <c r="F39" s="30">
        <f>IF(AND(D39&lt;&gt;"",E39&lt;&gt;""),E39-D39,"")</f>
        <v/>
      </c>
      <c r="G39" s="31" t="inlineStr">
        <is>
          <t>Complete</t>
        </is>
      </c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</row>
    <row r="40" ht="16" customHeight="1">
      <c r="A40" s="47" t="inlineStr">
        <is>
          <t>▲</t>
        </is>
      </c>
      <c r="B40" s="48" t="inlineStr">
        <is>
          <t>▲ DESIGN GATE — KDDs, RTM, Architecture &amp; Config Workbook signed off</t>
        </is>
      </c>
      <c r="C40" s="49" t="inlineStr">
        <is>
          <t>Sponsor / CFO</t>
        </is>
      </c>
      <c r="D40" s="50" t="n">
        <v>45716</v>
      </c>
      <c r="E40" s="50" t="n">
        <v>45716</v>
      </c>
      <c r="F40" s="51" t="n"/>
      <c r="G40" s="52" t="inlineStr">
        <is>
          <t>Complete</t>
        </is>
      </c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</row>
    <row r="41" ht="17" customHeight="1">
      <c r="A41" s="40" t="inlineStr"/>
      <c r="B41" s="54" t="inlineStr">
        <is>
          <t>PHASE 2 — PROOF OF CONCEPT  (Late January – February, overlaid with Design)</t>
        </is>
      </c>
      <c r="C41" s="42" t="inlineStr">
        <is>
          <t>PwC</t>
        </is>
      </c>
      <c r="D41" s="55" t="n">
        <v>45684</v>
      </c>
      <c r="E41" s="55" t="n">
        <v>45716</v>
      </c>
      <c r="F41" s="44">
        <f>(E41-D41)</f>
        <v/>
      </c>
      <c r="G41" s="56" t="inlineStr">
        <is>
          <t>Complete</t>
        </is>
      </c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</row>
    <row r="42" ht="14" customHeight="1">
      <c r="A42" s="33" t="n">
        <v>30</v>
      </c>
      <c r="B42" s="57" t="inlineStr">
        <is>
          <t>2.1  POC Environment Setup</t>
        </is>
      </c>
      <c r="C42" s="35" t="inlineStr">
        <is>
          <t>PwC / IT</t>
        </is>
      </c>
      <c r="D42" s="29" t="n">
        <v>45684</v>
      </c>
      <c r="E42" s="29" t="n">
        <v>45688</v>
      </c>
      <c r="F42" s="37">
        <f>IF(AND(D42&lt;&gt;"",E42&lt;&gt;""),E42-D42,"")</f>
        <v/>
      </c>
      <c r="G42" s="31" t="inlineStr">
        <is>
          <t>Complete</t>
        </is>
      </c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</row>
    <row r="43" ht="14" customHeight="1">
      <c r="A43" s="26" t="n">
        <v>31</v>
      </c>
      <c r="B43" s="39" t="inlineStr">
        <is>
          <t xml:space="preserve">      Oracle PBCS WFP sandbox provisioning (isolated POC instance)</t>
        </is>
      </c>
      <c r="C43" s="28" t="inlineStr">
        <is>
          <t>IT</t>
        </is>
      </c>
      <c r="D43" s="36" t="n">
        <v>45684</v>
      </c>
      <c r="E43" s="36" t="n">
        <v>45688</v>
      </c>
      <c r="F43" s="30">
        <f>IF(AND(D43&lt;&gt;"",E43&lt;&gt;""),E43-D43,"")</f>
        <v/>
      </c>
      <c r="G43" s="31" t="inlineStr">
        <is>
          <t>Complete</t>
        </is>
      </c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</row>
    <row r="44" ht="14" customHeight="1">
      <c r="A44" s="33" t="n">
        <v>32</v>
      </c>
      <c r="B44" s="34" t="inlineStr">
        <is>
          <t xml:space="preserve">      Representative data extract — 50–100 positions, 2-yr actuals sample</t>
        </is>
      </c>
      <c r="C44" s="35" t="inlineStr">
        <is>
          <t>PwC / HR</t>
        </is>
      </c>
      <c r="D44" s="36" t="n">
        <v>45684</v>
      </c>
      <c r="E44" s="36" t="n">
        <v>45688</v>
      </c>
      <c r="F44" s="37">
        <f>IF(AND(D44&lt;&gt;"",E44&lt;&gt;""),E44-D44,"")</f>
        <v/>
      </c>
      <c r="G44" s="31" t="inlineStr">
        <is>
          <t>Complete</t>
        </is>
      </c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</row>
    <row r="45" ht="14" customHeight="1">
      <c r="A45" s="26" t="n">
        <v>33</v>
      </c>
      <c r="B45" s="27" t="inlineStr">
        <is>
          <t>2.2  POC Build &amp; Validation</t>
        </is>
      </c>
      <c r="C45" s="28" t="inlineStr">
        <is>
          <t>PwC</t>
        </is>
      </c>
      <c r="D45" s="29" t="n">
        <v>45691</v>
      </c>
      <c r="E45" s="29" t="n">
        <v>45709</v>
      </c>
      <c r="F45" s="30">
        <f>IF(AND(D45&lt;&gt;"",E45&lt;&gt;""),E45-D45,"")</f>
        <v/>
      </c>
      <c r="G45" s="31" t="inlineStr">
        <is>
          <t>Complete</t>
        </is>
      </c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</row>
    <row r="46" ht="14" customHeight="1">
      <c r="A46" s="33" t="n">
        <v>34</v>
      </c>
      <c r="B46" s="34" t="inlineStr">
        <is>
          <t xml:space="preserve">      Core WFP dimension scaffold (Entity, Dept, Job Code, Scenario)</t>
        </is>
      </c>
      <c r="C46" s="35" t="inlineStr">
        <is>
          <t>PwC</t>
        </is>
      </c>
      <c r="D46" s="36" t="n">
        <v>45691</v>
      </c>
      <c r="E46" s="36" t="n">
        <v>45695</v>
      </c>
      <c r="F46" s="37">
        <f>IF(AND(D46&lt;&gt;"",E46&lt;&gt;""),E46-D46,"")</f>
        <v/>
      </c>
      <c r="G46" s="31" t="inlineStr">
        <is>
          <t>Complete</t>
        </is>
      </c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</row>
    <row r="47" ht="14" customHeight="1">
      <c r="A47" s="26" t="n">
        <v>35</v>
      </c>
      <c r="B47" s="39" t="inlineStr">
        <is>
          <t xml:space="preserve">      Standard calc rules run (OEP_WFPCalcAll, WFPSpread) on sample data</t>
        </is>
      </c>
      <c r="C47" s="28" t="inlineStr">
        <is>
          <t>PwC</t>
        </is>
      </c>
      <c r="D47" s="36" t="n">
        <v>45691</v>
      </c>
      <c r="E47" s="36" t="n">
        <v>45695</v>
      </c>
      <c r="F47" s="30">
        <f>IF(AND(D47&lt;&gt;"",E47&lt;&gt;""),E47-D47,"")</f>
        <v/>
      </c>
      <c r="G47" s="31" t="inlineStr">
        <is>
          <t>Complete</t>
        </is>
      </c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</row>
    <row r="48" ht="14" customHeight="1">
      <c r="A48" s="33" t="n">
        <v>36</v>
      </c>
      <c r="B48" s="34" t="inlineStr">
        <is>
          <t xml:space="preserve">      Prototype Groovy: salary escalation &amp; benefits loading on sample positions</t>
        </is>
      </c>
      <c r="C48" s="35" t="inlineStr">
        <is>
          <t>PwC</t>
        </is>
      </c>
      <c r="D48" s="36" t="n">
        <v>45698</v>
      </c>
      <c r="E48" s="36" t="n">
        <v>45702</v>
      </c>
      <c r="F48" s="37">
        <f>IF(AND(D48&lt;&gt;"",E48&lt;&gt;""),E48-D48,"")</f>
        <v/>
      </c>
      <c r="G48" s="31" t="inlineStr">
        <is>
          <t>Complete</t>
        </is>
      </c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</row>
    <row r="49" ht="14" customHeight="1">
      <c r="A49" s="26" t="n">
        <v>37</v>
      </c>
      <c r="B49" s="39" t="inlineStr">
        <is>
          <t xml:space="preserve">      Driver &amp; assumption table validation (Merit%, COLA%, Benefit_Rates[])</t>
        </is>
      </c>
      <c r="C49" s="28" t="inlineStr">
        <is>
          <t>PwC / Finance</t>
        </is>
      </c>
      <c r="D49" s="36" t="n">
        <v>45698</v>
      </c>
      <c r="E49" s="36" t="n">
        <v>45702</v>
      </c>
      <c r="F49" s="30">
        <f>IF(AND(D49&lt;&gt;"",E49&lt;&gt;""),E49-D49,"")</f>
        <v/>
      </c>
      <c r="G49" s="31" t="inlineStr">
        <is>
          <t>Complete</t>
        </is>
      </c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</row>
    <row r="50" ht="14" customHeight="1">
      <c r="A50" s="33" t="n">
        <v>38</v>
      </c>
      <c r="B50" s="34" t="inlineStr">
        <is>
          <t xml:space="preserve">      OPEX G&amp;A driver prototype — headcount-linked T&amp;E, IT, Facilities</t>
        </is>
      </c>
      <c r="C50" s="35" t="inlineStr">
        <is>
          <t>PwC</t>
        </is>
      </c>
      <c r="D50" s="36" t="n">
        <v>45698</v>
      </c>
      <c r="E50" s="36" t="n">
        <v>45702</v>
      </c>
      <c r="F50" s="37">
        <f>IF(AND(D50&lt;&gt;"",E50&lt;&gt;""),E50-D50,"")</f>
        <v/>
      </c>
      <c r="G50" s="31" t="inlineStr">
        <is>
          <t>Complete</t>
        </is>
      </c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</row>
    <row r="51" ht="14" customHeight="1">
      <c r="A51" s="26" t="n">
        <v>39</v>
      </c>
      <c r="B51" s="39" t="inlineStr">
        <is>
          <t xml:space="preserve">      BOR/ICP below-the-line split — prototype validation with Finance</t>
        </is>
      </c>
      <c r="C51" s="28" t="inlineStr">
        <is>
          <t>PwC / Finance</t>
        </is>
      </c>
      <c r="D51" s="36" t="n">
        <v>45705</v>
      </c>
      <c r="E51" s="36" t="n">
        <v>45709</v>
      </c>
      <c r="F51" s="30">
        <f>IF(AND(D51&lt;&gt;"",E51&lt;&gt;""),E51-D51,"")</f>
        <v/>
      </c>
      <c r="G51" s="31" t="inlineStr">
        <is>
          <t>Complete</t>
        </is>
      </c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</row>
    <row r="52" ht="14" customHeight="1">
      <c r="A52" s="33" t="n">
        <v>40</v>
      </c>
      <c r="B52" s="34" t="inlineStr">
        <is>
          <t xml:space="preserve">      Performance test — calc run time on representative data volume</t>
        </is>
      </c>
      <c r="C52" s="35" t="inlineStr">
        <is>
          <t>PwC</t>
        </is>
      </c>
      <c r="D52" s="36" t="n">
        <v>45705</v>
      </c>
      <c r="E52" s="36" t="n">
        <v>45709</v>
      </c>
      <c r="F52" s="37">
        <f>IF(AND(D52&lt;&gt;"",E52&lt;&gt;""),E52-D52,"")</f>
        <v/>
      </c>
      <c r="G52" s="31" t="inlineStr">
        <is>
          <t>Complete</t>
        </is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</row>
    <row r="53" ht="14" customHeight="1">
      <c r="A53" s="26" t="n">
        <v>41</v>
      </c>
      <c r="B53" s="27" t="inlineStr">
        <is>
          <t>2.3  POC Findings &amp; Design Confirmation</t>
        </is>
      </c>
      <c r="C53" s="28" t="inlineStr">
        <is>
          <t>PwC / Finance</t>
        </is>
      </c>
      <c r="D53" s="29" t="n">
        <v>45712</v>
      </c>
      <c r="E53" s="29" t="n">
        <v>45716</v>
      </c>
      <c r="F53" s="30">
        <f>IF(AND(D53&lt;&gt;"",E53&lt;&gt;""),E53-D53,"")</f>
        <v/>
      </c>
      <c r="G53" s="31" t="inlineStr">
        <is>
          <t>Complete</t>
        </is>
      </c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</row>
    <row r="54" ht="14" customHeight="1">
      <c r="A54" s="33" t="n">
        <v>42</v>
      </c>
      <c r="B54" s="34" t="inlineStr">
        <is>
          <t xml:space="preserve">      POC findings report — validated assumptions, open issues, design changes</t>
        </is>
      </c>
      <c r="C54" s="35" t="inlineStr">
        <is>
          <t>PwC</t>
        </is>
      </c>
      <c r="D54" s="36" t="n">
        <v>45712</v>
      </c>
      <c r="E54" s="36" t="n">
        <v>45716</v>
      </c>
      <c r="F54" s="37">
        <f>IF(AND(D54&lt;&gt;"",E54&lt;&gt;""),E54-D54,"")</f>
        <v/>
      </c>
      <c r="G54" s="31" t="inlineStr">
        <is>
          <t>Complete</t>
        </is>
      </c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</row>
    <row r="55" ht="14" customHeight="1">
      <c r="A55" s="26" t="n">
        <v>43</v>
      </c>
      <c r="B55" s="39" t="inlineStr">
        <is>
          <t xml:space="preserve">      Design updates from POC findings — incorporated into Config Workbook</t>
        </is>
      </c>
      <c r="C55" s="28" t="inlineStr">
        <is>
          <t>PwC</t>
        </is>
      </c>
      <c r="D55" s="36" t="n">
        <v>45712</v>
      </c>
      <c r="E55" s="36" t="n">
        <v>45716</v>
      </c>
      <c r="F55" s="30">
        <f>IF(AND(D55&lt;&gt;"",E55&lt;&gt;""),E55-D55,"")</f>
        <v/>
      </c>
      <c r="G55" s="31" t="inlineStr">
        <is>
          <t>Complete</t>
        </is>
      </c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</row>
    <row r="56" ht="14" customHeight="1">
      <c r="A56" s="33" t="n">
        <v>44</v>
      </c>
      <c r="B56" s="34" t="inlineStr">
        <is>
          <t xml:space="preserve">      POC sign-off — Finance &amp; IT confirm design is fit for Build</t>
        </is>
      </c>
      <c r="C56" s="35" t="inlineStr">
        <is>
          <t>Finance / IT</t>
        </is>
      </c>
      <c r="D56" s="36" t="n">
        <v>45716</v>
      </c>
      <c r="E56" s="36" t="n">
        <v>45716</v>
      </c>
      <c r="F56" s="37">
        <f>IF(AND(D56&lt;&gt;"",E56&lt;&gt;""),E56-D56,"")</f>
        <v/>
      </c>
      <c r="G56" s="31" t="inlineStr">
        <is>
          <t>Complete</t>
        </is>
      </c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</row>
    <row r="57" ht="17" customHeight="1">
      <c r="A57" s="40" t="inlineStr"/>
      <c r="B57" s="58" t="inlineStr">
        <is>
          <t>PHASE 3 — BUILD: AGILE SPRINTS 1–4  (March – June)</t>
        </is>
      </c>
      <c r="C57" s="42" t="inlineStr">
        <is>
          <t>PwC</t>
        </is>
      </c>
      <c r="D57" s="59" t="n">
        <v>45719</v>
      </c>
      <c r="E57" s="59" t="n">
        <v>45835</v>
      </c>
      <c r="F57" s="44">
        <f>(E57-D57)</f>
        <v/>
      </c>
      <c r="G57" s="60" t="inlineStr">
        <is>
          <t>In Progress</t>
        </is>
      </c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</row>
    <row r="58" ht="14" customHeight="1">
      <c r="A58" s="26" t="n">
        <v>45</v>
      </c>
      <c r="B58" s="27" t="inlineStr">
        <is>
          <t>SPRINT 1 — Core Application &amp; Environment Setup  (Mar 3 – Mar 28)</t>
        </is>
      </c>
      <c r="C58" s="28" t="inlineStr">
        <is>
          <t>PwC / IT</t>
        </is>
      </c>
      <c r="D58" s="29" t="n">
        <v>45719</v>
      </c>
      <c r="E58" s="29" t="n">
        <v>45744</v>
      </c>
      <c r="F58" s="30">
        <f>IF(AND(D58&lt;&gt;"",E58&lt;&gt;""),E58-D58,"")</f>
        <v/>
      </c>
      <c r="G58" s="61" t="inlineStr">
        <is>
          <t>In Progress</t>
        </is>
      </c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</row>
    <row r="59" ht="14" customHeight="1">
      <c r="A59" s="33" t="n">
        <v>46</v>
      </c>
      <c r="B59" s="34" t="inlineStr">
        <is>
          <t xml:space="preserve">      Oracle PBCS WFP module provisioning — DEV / TEST / UAT / PROD environments</t>
        </is>
      </c>
      <c r="C59" s="35" t="inlineStr">
        <is>
          <t>IT</t>
        </is>
      </c>
      <c r="D59" s="36" t="n">
        <v>45719</v>
      </c>
      <c r="E59" s="36" t="n">
        <v>45723</v>
      </c>
      <c r="F59" s="37">
        <f>IF(AND(D59&lt;&gt;"",E59&lt;&gt;""),E59-D59,"")</f>
        <v/>
      </c>
      <c r="G59" s="61" t="inlineStr">
        <is>
          <t>In Progress</t>
        </is>
      </c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</row>
    <row r="60" ht="14" customHeight="1">
      <c r="A60" s="26" t="n">
        <v>47</v>
      </c>
      <c r="B60" s="39" t="inlineStr">
        <is>
          <t xml:space="preserve">      SSO &amp; identity provisioning (Azure AD / Okta); MFA enforcement</t>
        </is>
      </c>
      <c r="C60" s="28" t="inlineStr">
        <is>
          <t>IT Security</t>
        </is>
      </c>
      <c r="D60" s="36" t="n">
        <v>45719</v>
      </c>
      <c r="E60" s="36" t="n">
        <v>45723</v>
      </c>
      <c r="F60" s="30">
        <f>IF(AND(D60&lt;&gt;"",E60&lt;&gt;""),E60-D60,"")</f>
        <v/>
      </c>
      <c r="G60" s="61" t="inlineStr">
        <is>
          <t>In Progress</t>
        </is>
      </c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</row>
    <row r="61" ht="14" customHeight="1">
      <c r="A61" s="33" t="n">
        <v>48</v>
      </c>
      <c r="B61" s="34" t="inlineStr">
        <is>
          <t xml:space="preserve">      Security roles build — Planner, Reviewer, Admin, Read-Only (DEV)</t>
        </is>
      </c>
      <c r="C61" s="35" t="inlineStr">
        <is>
          <t>IT / PwC</t>
        </is>
      </c>
      <c r="D61" s="36" t="n">
        <v>45726</v>
      </c>
      <c r="E61" s="36" t="n">
        <v>45730</v>
      </c>
      <c r="F61" s="37">
        <f>IF(AND(D61&lt;&gt;"",E61&lt;&gt;""),E61-D61,"")</f>
        <v/>
      </c>
      <c r="G61" s="61" t="inlineStr">
        <is>
          <t>In Progress</t>
        </is>
      </c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</row>
    <row r="62" ht="14" customHeight="1">
      <c r="A62" s="26" t="n">
        <v>49</v>
      </c>
      <c r="B62" s="39" t="inlineStr">
        <is>
          <t xml:space="preserve">      Full metadata load — all 7 dimensions &amp; hierarchies (DEV)</t>
        </is>
      </c>
      <c r="C62" s="28" t="inlineStr">
        <is>
          <t>PwC</t>
        </is>
      </c>
      <c r="D62" s="36" t="n">
        <v>45726</v>
      </c>
      <c r="E62" s="36" t="n">
        <v>45737</v>
      </c>
      <c r="F62" s="30">
        <f>IF(AND(D62&lt;&gt;"",E62&lt;&gt;""),E62-D62,"")</f>
        <v/>
      </c>
      <c r="G62" s="61" t="inlineStr">
        <is>
          <t>In Progress</t>
        </is>
      </c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</row>
    <row r="63" ht="14" customHeight="1">
      <c r="A63" s="33" t="n">
        <v>50</v>
      </c>
      <c r="B63" s="34" t="inlineStr">
        <is>
          <t xml:space="preserve">      Application settings — planning unit hierarchy, approval workflow config</t>
        </is>
      </c>
      <c r="C63" s="35" t="inlineStr">
        <is>
          <t>PwC</t>
        </is>
      </c>
      <c r="D63" s="36" t="n">
        <v>45733</v>
      </c>
      <c r="E63" s="36" t="n">
        <v>45737</v>
      </c>
      <c r="F63" s="37">
        <f>IF(AND(D63&lt;&gt;"",E63&lt;&gt;""),E63-D63,"")</f>
        <v/>
      </c>
      <c r="G63" s="38" t="inlineStr">
        <is>
          <t>Planned</t>
        </is>
      </c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</row>
    <row r="64" ht="14" customHeight="1">
      <c r="A64" s="26" t="n">
        <v>51</v>
      </c>
      <c r="B64" s="39" t="inlineStr">
        <is>
          <t xml:space="preserve">      Position master build — 500+ active &amp; proposed positions loaded</t>
        </is>
      </c>
      <c r="C64" s="28" t="inlineStr">
        <is>
          <t>PwC / HR</t>
        </is>
      </c>
      <c r="D64" s="36" t="n">
        <v>45733</v>
      </c>
      <c r="E64" s="36" t="n">
        <v>45744</v>
      </c>
      <c r="F64" s="30">
        <f>IF(AND(D64&lt;&gt;"",E64&lt;&gt;""),E64-D64,"")</f>
        <v/>
      </c>
      <c r="G64" s="38" t="inlineStr">
        <is>
          <t>Planned</t>
        </is>
      </c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</row>
    <row r="65" ht="14" customHeight="1">
      <c r="A65" s="33" t="n">
        <v>52</v>
      </c>
      <c r="B65" s="34" t="inlineStr">
        <is>
          <t xml:space="preserve">      Standard Oracle WFP calc rules deployed: OEP_WFPCalcAll, WFPClearAll, WFPSpread, WFPAggregateAll, WFPCalcByEntity</t>
        </is>
      </c>
      <c r="C65" s="35" t="inlineStr">
        <is>
          <t>PwC</t>
        </is>
      </c>
      <c r="D65" s="36" t="n">
        <v>45733</v>
      </c>
      <c r="E65" s="36" t="n">
        <v>45744</v>
      </c>
      <c r="F65" s="37">
        <f>IF(AND(D65&lt;&gt;"",E65&lt;&gt;""),E65-D65,"")</f>
        <v/>
      </c>
      <c r="G65" s="38" t="inlineStr">
        <is>
          <t>Planned</t>
        </is>
      </c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</row>
    <row r="66" ht="14" customHeight="1">
      <c r="A66" s="26" t="n">
        <v>53</v>
      </c>
      <c r="B66" s="39" t="inlineStr">
        <is>
          <t xml:space="preserve">      Data conversion: initial position &amp; org hierarchy load from HRIS (DEV)</t>
        </is>
      </c>
      <c r="C66" s="28" t="inlineStr">
        <is>
          <t>PwC / IT</t>
        </is>
      </c>
      <c r="D66" s="36" t="n">
        <v>45740</v>
      </c>
      <c r="E66" s="36" t="n">
        <v>45744</v>
      </c>
      <c r="F66" s="30">
        <f>IF(AND(D66&lt;&gt;"",E66&lt;&gt;""),E66-D66,"")</f>
        <v/>
      </c>
      <c r="G66" s="38" t="inlineStr">
        <is>
          <t>Planned</t>
        </is>
      </c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</row>
    <row r="67" ht="14" customHeight="1">
      <c r="A67" s="33" t="n">
        <v>54</v>
      </c>
      <c r="B67" s="34" t="inlineStr">
        <is>
          <t xml:space="preserve">      Sprint 1 Playback — environment demo; metadata validation; std calc rules</t>
        </is>
      </c>
      <c r="C67" s="35" t="inlineStr">
        <is>
          <t>PMO / Finance</t>
        </is>
      </c>
      <c r="D67" s="36" t="n">
        <v>45744</v>
      </c>
      <c r="E67" s="36" t="n">
        <v>45744</v>
      </c>
      <c r="F67" s="37">
        <f>IF(AND(D67&lt;&gt;"",E67&lt;&gt;""),E67-D67,"")</f>
        <v/>
      </c>
      <c r="G67" s="38" t="inlineStr">
        <is>
          <t>Planned</t>
        </is>
      </c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</row>
    <row r="68" ht="14" customHeight="1">
      <c r="A68" s="26" t="n">
        <v>55</v>
      </c>
      <c r="B68" s="27" t="inlineStr">
        <is>
          <t>SPRINT 2 — Baseline Workflows &amp; Integrations  (Mar 31 – Apr 25)</t>
        </is>
      </c>
      <c r="C68" s="28" t="inlineStr">
        <is>
          <t>PwC / IT</t>
        </is>
      </c>
      <c r="D68" s="29" t="n">
        <v>45747</v>
      </c>
      <c r="E68" s="29" t="n">
        <v>45772</v>
      </c>
      <c r="F68" s="30">
        <f>IF(AND(D68&lt;&gt;"",E68&lt;&gt;""),E68-D68,"")</f>
        <v/>
      </c>
      <c r="G68" s="38" t="inlineStr">
        <is>
          <t>Planned</t>
        </is>
      </c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</row>
    <row r="69" ht="14" customHeight="1">
      <c r="A69" s="33" t="n">
        <v>56</v>
      </c>
      <c r="B69" s="34" t="inlineStr">
        <is>
          <t xml:space="preserve">      Planning unit hierarchy — dept-level budget ownership &amp; approval routing</t>
        </is>
      </c>
      <c r="C69" s="35" t="inlineStr">
        <is>
          <t>PwC / Finance</t>
        </is>
      </c>
      <c r="D69" s="36" t="n">
        <v>45747</v>
      </c>
      <c r="E69" s="36" t="n">
        <v>45751</v>
      </c>
      <c r="F69" s="37">
        <f>IF(AND(D69&lt;&gt;"",E69&lt;&gt;""),E69-D69,"")</f>
        <v/>
      </c>
      <c r="G69" s="38" t="inlineStr">
        <is>
          <t>Planned</t>
        </is>
      </c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</row>
    <row r="70" ht="14" customHeight="1">
      <c r="A70" s="26" t="n">
        <v>57</v>
      </c>
      <c r="B70" s="39" t="inlineStr">
        <is>
          <t xml:space="preserve">      Scenario / Version strategy — Budget, Forecast Q1–Q3, Plan, Actual</t>
        </is>
      </c>
      <c r="C70" s="28" t="inlineStr">
        <is>
          <t>PwC</t>
        </is>
      </c>
      <c r="D70" s="36" t="n">
        <v>45747</v>
      </c>
      <c r="E70" s="36" t="n">
        <v>45751</v>
      </c>
      <c r="F70" s="30">
        <f>IF(AND(D70&lt;&gt;"",E70&lt;&gt;""),E70-D70,"")</f>
        <v/>
      </c>
      <c r="G70" s="38" t="inlineStr">
        <is>
          <t>Planned</t>
        </is>
      </c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</row>
    <row r="71" ht="14" customHeight="1">
      <c r="A71" s="33" t="n">
        <v>58</v>
      </c>
      <c r="B71" s="34" t="inlineStr">
        <is>
          <t xml:space="preserve">      Planning calendar configuration — submission windows, lock/unlock cycles</t>
        </is>
      </c>
      <c r="C71" s="35" t="inlineStr">
        <is>
          <t>PwC / Finance</t>
        </is>
      </c>
      <c r="D71" s="36" t="n">
        <v>45754</v>
      </c>
      <c r="E71" s="36" t="n">
        <v>45758</v>
      </c>
      <c r="F71" s="37">
        <f>IF(AND(D71&lt;&gt;"",E71&lt;&gt;""),E71-D71,"")</f>
        <v/>
      </c>
      <c r="G71" s="38" t="inlineStr">
        <is>
          <t>Planned</t>
        </is>
      </c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</row>
    <row r="72" ht="14" customHeight="1">
      <c r="A72" s="26" t="n">
        <v>59</v>
      </c>
      <c r="B72" s="39" t="inlineStr">
        <is>
          <t xml:space="preserve">      HRIS (Workday) → Oracle EPM integration — position/employee extract build</t>
        </is>
      </c>
      <c r="C72" s="28" t="inlineStr">
        <is>
          <t>IT / PwC</t>
        </is>
      </c>
      <c r="D72" s="36" t="n">
        <v>45754</v>
      </c>
      <c r="E72" s="36" t="n">
        <v>45765</v>
      </c>
      <c r="F72" s="30">
        <f>IF(AND(D72&lt;&gt;"",E72&lt;&gt;""),E72-D72,"")</f>
        <v/>
      </c>
      <c r="G72" s="38" t="inlineStr">
        <is>
          <t>Planned</t>
        </is>
      </c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</row>
    <row r="73" ht="14" customHeight="1">
      <c r="A73" s="33" t="n">
        <v>60</v>
      </c>
      <c r="B73" s="34" t="inlineStr">
        <is>
          <t xml:space="preserve">      GL Actuals (ERP) → EPM integration via EPM Data Management</t>
        </is>
      </c>
      <c r="C73" s="35" t="inlineStr">
        <is>
          <t>IT / PwC</t>
        </is>
      </c>
      <c r="D73" s="36" t="n">
        <v>45754</v>
      </c>
      <c r="E73" s="36" t="n">
        <v>45765</v>
      </c>
      <c r="F73" s="37">
        <f>IF(AND(D73&lt;&gt;"",E73&lt;&gt;""),E73-D73,"")</f>
        <v/>
      </c>
      <c r="G73" s="38" t="inlineStr">
        <is>
          <t>Planned</t>
        </is>
      </c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</row>
    <row r="74" ht="14" customHeight="1">
      <c r="A74" s="26" t="n">
        <v>61</v>
      </c>
      <c r="B74" s="39" t="inlineStr">
        <is>
          <t xml:space="preserve">      EPM Automate — nightly data load scheduler build &amp; testing</t>
        </is>
      </c>
      <c r="C74" s="28" t="inlineStr">
        <is>
          <t>IT</t>
        </is>
      </c>
      <c r="D74" s="36" t="n">
        <v>45761</v>
      </c>
      <c r="E74" s="36" t="n">
        <v>45765</v>
      </c>
      <c r="F74" s="30">
        <f>IF(AND(D74&lt;&gt;"",E74&lt;&gt;""),E74-D74,"")</f>
        <v/>
      </c>
      <c r="G74" s="38" t="inlineStr">
        <is>
          <t>Planned</t>
        </is>
      </c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</row>
    <row r="75" ht="14" customHeight="1">
      <c r="A75" s="33" t="n">
        <v>62</v>
      </c>
      <c r="B75" s="34" t="inlineStr">
        <is>
          <t xml:space="preserve">      Data conversion: GL actuals (3 yrs) &amp; FY25 Budget/Forecast load to DEV</t>
        </is>
      </c>
      <c r="C75" s="35" t="inlineStr">
        <is>
          <t>PwC / IT</t>
        </is>
      </c>
      <c r="D75" s="36" t="n">
        <v>45761</v>
      </c>
      <c r="E75" s="36" t="n">
        <v>45772</v>
      </c>
      <c r="F75" s="37">
        <f>IF(AND(D75&lt;&gt;"",E75&lt;&gt;""),E75-D75,"")</f>
        <v/>
      </c>
      <c r="G75" s="38" t="inlineStr">
        <is>
          <t>Planned</t>
        </is>
      </c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</row>
    <row r="76" ht="14" customHeight="1">
      <c r="A76" s="26" t="n">
        <v>63</v>
      </c>
      <c r="B76" s="39" t="inlineStr">
        <is>
          <t xml:space="preserve">      Integration smoke testing — end-to-end data flow validation</t>
        </is>
      </c>
      <c r="C76" s="28" t="inlineStr">
        <is>
          <t>PwC / IT</t>
        </is>
      </c>
      <c r="D76" s="36" t="n">
        <v>45768</v>
      </c>
      <c r="E76" s="36" t="n">
        <v>45772</v>
      </c>
      <c r="F76" s="30">
        <f>IF(AND(D76&lt;&gt;"",E76&lt;&gt;""),E76-D76,"")</f>
        <v/>
      </c>
      <c r="G76" s="38" t="inlineStr">
        <is>
          <t>Planned</t>
        </is>
      </c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</row>
    <row r="77" ht="14" customHeight="1">
      <c r="A77" s="33" t="n">
        <v>64</v>
      </c>
      <c r="B77" s="34" t="inlineStr">
        <is>
          <t xml:space="preserve">      Sprint 2 Playback — integration demo; historical data in DEV; workflow walkthrough</t>
        </is>
      </c>
      <c r="C77" s="35" t="inlineStr">
        <is>
          <t>PMO / Finance</t>
        </is>
      </c>
      <c r="D77" s="36" t="n">
        <v>45772</v>
      </c>
      <c r="E77" s="36" t="n">
        <v>45772</v>
      </c>
      <c r="F77" s="37">
        <f>IF(AND(D77&lt;&gt;"",E77&lt;&gt;""),E77-D77,"")</f>
        <v/>
      </c>
      <c r="G77" s="38" t="inlineStr">
        <is>
          <t>Planned</t>
        </is>
      </c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</row>
    <row r="78" ht="14" customHeight="1">
      <c r="A78" s="26" t="n">
        <v>65</v>
      </c>
      <c r="B78" s="27" t="inlineStr">
        <is>
          <t>SPRINT 3 — Workforce Logic, Calculations &amp; Automation  (Apr 28 – May 30)</t>
        </is>
      </c>
      <c r="C78" s="28" t="inlineStr">
        <is>
          <t>PwC</t>
        </is>
      </c>
      <c r="D78" s="29" t="n">
        <v>45775</v>
      </c>
      <c r="E78" s="29" t="n">
        <v>45807</v>
      </c>
      <c r="F78" s="30">
        <f>IF(AND(D78&lt;&gt;"",E78&lt;&gt;""),E78-D78,"")</f>
        <v/>
      </c>
      <c r="G78" s="38" t="inlineStr">
        <is>
          <t>Planned</t>
        </is>
      </c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</row>
    <row r="79" ht="14" customHeight="1">
      <c r="A79" s="33" t="n">
        <v>66</v>
      </c>
      <c r="B79" s="34" t="inlineStr">
        <is>
          <t xml:space="preserve">      CUST_SalaryEscalation: Merit % by Job Grade &amp; Seniority; roll-forward from actuals</t>
        </is>
      </c>
      <c r="C79" s="35" t="inlineStr">
        <is>
          <t>PwC</t>
        </is>
      </c>
      <c r="D79" s="36" t="n">
        <v>45775</v>
      </c>
      <c r="E79" s="36" t="n">
        <v>45786</v>
      </c>
      <c r="F79" s="37">
        <f>IF(AND(D79&lt;&gt;"",E79&lt;&gt;""),E79-D79,"")</f>
        <v/>
      </c>
      <c r="G79" s="38" t="inlineStr">
        <is>
          <t>Planned</t>
        </is>
      </c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</row>
    <row r="80" ht="14" customHeight="1">
      <c r="A80" s="26" t="n">
        <v>67</v>
      </c>
      <c r="B80" s="39" t="inlineStr">
        <is>
          <t xml:space="preserve">      CUST_COLAAdjustment: CPI-linked COLA; unionized vs non-unionized treatment</t>
        </is>
      </c>
      <c r="C80" s="28" t="inlineStr">
        <is>
          <t>PwC</t>
        </is>
      </c>
      <c r="D80" s="36" t="n">
        <v>45775</v>
      </c>
      <c r="E80" s="36" t="n">
        <v>45786</v>
      </c>
      <c r="F80" s="30">
        <f>IF(AND(D80&lt;&gt;"",E80&lt;&gt;""),E80-D80,"")</f>
        <v/>
      </c>
      <c r="G80" s="38" t="inlineStr">
        <is>
          <t>Planned</t>
        </is>
      </c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</row>
    <row r="81" ht="14" customHeight="1">
      <c r="A81" s="33" t="n">
        <v>68</v>
      </c>
      <c r="B81" s="34" t="inlineStr">
        <is>
          <t xml:space="preserve">      CUST_BonusCalc: STI = Base × Bonus_Target_Pct × Perf_Modifier (scenario-driven)</t>
        </is>
      </c>
      <c r="C81" s="35" t="inlineStr">
        <is>
          <t>PwC</t>
        </is>
      </c>
      <c r="D81" s="36" t="n">
        <v>45782</v>
      </c>
      <c r="E81" s="36" t="n">
        <v>45793</v>
      </c>
      <c r="F81" s="37">
        <f>IF(AND(D81&lt;&gt;"",E81&lt;&gt;""),E81-D81,"")</f>
        <v/>
      </c>
      <c r="G81" s="38" t="inlineStr">
        <is>
          <t>Planned</t>
        </is>
      </c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</row>
    <row r="82" ht="14" customHeight="1">
      <c r="A82" s="26" t="n">
        <v>69</v>
      </c>
      <c r="B82" s="39" t="inlineStr">
        <is>
          <t xml:space="preserve">      CUST_BenefitsLoading: CPP, EI, WSIB, Group Benefits, Pension match (FT vs PT)</t>
        </is>
      </c>
      <c r="C82" s="28" t="inlineStr">
        <is>
          <t>PwC</t>
        </is>
      </c>
      <c r="D82" s="36" t="n">
        <v>45782</v>
      </c>
      <c r="E82" s="36" t="n">
        <v>45793</v>
      </c>
      <c r="F82" s="30">
        <f>IF(AND(D82&lt;&gt;"",E82&lt;&gt;""),E82-D82,"")</f>
        <v/>
      </c>
      <c r="G82" s="38" t="inlineStr">
        <is>
          <t>Planned</t>
        </is>
      </c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</row>
    <row r="83" ht="14" customHeight="1">
      <c r="A83" s="33" t="n">
        <v>70</v>
      </c>
      <c r="B83" s="34" t="inlineStr">
        <is>
          <t xml:space="preserve">      CUST_VacancyRate &amp; CUST_FTEGapAnalysis: approved vs filled; gap threshold flag</t>
        </is>
      </c>
      <c r="C83" s="35" t="inlineStr">
        <is>
          <t>PwC</t>
        </is>
      </c>
      <c r="D83" s="36" t="n">
        <v>45789</v>
      </c>
      <c r="E83" s="36" t="n">
        <v>45800</v>
      </c>
      <c r="F83" s="37">
        <f>IF(AND(D83&lt;&gt;"",E83&lt;&gt;""),E83-D83,"")</f>
        <v/>
      </c>
      <c r="G83" s="38" t="inlineStr">
        <is>
          <t>Planned</t>
        </is>
      </c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</row>
    <row r="84" ht="14" customHeight="1">
      <c r="A84" s="26" t="n">
        <v>71</v>
      </c>
      <c r="B84" s="39" t="inlineStr">
        <is>
          <t xml:space="preserve">      CUST_NewHireRamp: partial-year cost = Annual × (Remaining_Mo/12) × Ramp%</t>
        </is>
      </c>
      <c r="C84" s="28" t="inlineStr">
        <is>
          <t>PwC</t>
        </is>
      </c>
      <c r="D84" s="36" t="n">
        <v>45789</v>
      </c>
      <c r="E84" s="36" t="n">
        <v>45800</v>
      </c>
      <c r="F84" s="30">
        <f>IF(AND(D84&lt;&gt;"",E84&lt;&gt;""),E84-D84,"")</f>
        <v/>
      </c>
      <c r="G84" s="38" t="inlineStr">
        <is>
          <t>Planned</t>
        </is>
      </c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</row>
    <row r="85" ht="14" customHeight="1">
      <c r="A85" s="33" t="n">
        <v>72</v>
      </c>
      <c r="B85" s="34" t="inlineStr">
        <is>
          <t xml:space="preserve">      CUST_TerminationLogic: zero comp from term date; severance loading rule</t>
        </is>
      </c>
      <c r="C85" s="35" t="inlineStr">
        <is>
          <t>PwC</t>
        </is>
      </c>
      <c r="D85" s="36" t="n">
        <v>45796</v>
      </c>
      <c r="E85" s="36" t="n">
        <v>45807</v>
      </c>
      <c r="F85" s="37">
        <f>IF(AND(D85&lt;&gt;"",E85&lt;&gt;""),E85-D85,"")</f>
        <v/>
      </c>
      <c r="G85" s="38" t="inlineStr">
        <is>
          <t>Planned</t>
        </is>
      </c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</row>
    <row r="86" ht="14" customHeight="1">
      <c r="A86" s="26" t="n">
        <v>73</v>
      </c>
      <c r="B86" s="39" t="inlineStr">
        <is>
          <t xml:space="preserve">      Assumption table build: Merit_Pct[Grade,Year], COLA%, Benefit_Rates[], Ramp schedules</t>
        </is>
      </c>
      <c r="C86" s="28" t="inlineStr">
        <is>
          <t>PwC / Finance</t>
        </is>
      </c>
      <c r="D86" s="36" t="n">
        <v>45775</v>
      </c>
      <c r="E86" s="36" t="n">
        <v>45807</v>
      </c>
      <c r="F86" s="30">
        <f>IF(AND(D86&lt;&gt;"",E86&lt;&gt;""),E86-D86,"")</f>
        <v/>
      </c>
      <c r="G86" s="38" t="inlineStr">
        <is>
          <t>Planned</t>
        </is>
      </c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</row>
    <row r="87" ht="14" customHeight="1">
      <c r="A87" s="33" t="n">
        <v>74</v>
      </c>
      <c r="B87" s="34" t="inlineStr">
        <is>
          <t xml:space="preserve">      Compensation calc rule unit testing — 50-position validation suite</t>
        </is>
      </c>
      <c r="C87" s="35" t="inlineStr">
        <is>
          <t>PwC</t>
        </is>
      </c>
      <c r="D87" s="36" t="n">
        <v>45803</v>
      </c>
      <c r="E87" s="36" t="n">
        <v>45807</v>
      </c>
      <c r="F87" s="37">
        <f>IF(AND(D87&lt;&gt;"",E87&lt;&gt;""),E87-D87,"")</f>
        <v/>
      </c>
      <c r="G87" s="38" t="inlineStr">
        <is>
          <t>Planned</t>
        </is>
      </c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</row>
    <row r="88" ht="14" customHeight="1">
      <c r="A88" s="26" t="n">
        <v>75</v>
      </c>
      <c r="B88" s="39" t="inlineStr">
        <is>
          <t xml:space="preserve">      Sprint 3 Playback — live Groovy calc demo; end-to-end comp calc walkthrough</t>
        </is>
      </c>
      <c r="C88" s="28" t="inlineStr">
        <is>
          <t>PMO / Finance / HR</t>
        </is>
      </c>
      <c r="D88" s="36" t="n">
        <v>45807</v>
      </c>
      <c r="E88" s="36" t="n">
        <v>45807</v>
      </c>
      <c r="F88" s="30">
        <f>IF(AND(D88&lt;&gt;"",E88&lt;&gt;""),E88-D88,"")</f>
        <v/>
      </c>
      <c r="G88" s="38" t="inlineStr">
        <is>
          <t>Planned</t>
        </is>
      </c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</row>
    <row r="89" ht="14" customHeight="1">
      <c r="A89" s="33" t="n">
        <v>76</v>
      </c>
      <c r="B89" s="57" t="inlineStr">
        <is>
          <t>SPRINT 4 — Data, Reporting, Security &amp; SIT Readiness  (Jun 2 – Jun 27)</t>
        </is>
      </c>
      <c r="C89" s="35" t="inlineStr">
        <is>
          <t>PwC</t>
        </is>
      </c>
      <c r="D89" s="29" t="n">
        <v>45810</v>
      </c>
      <c r="E89" s="29" t="n">
        <v>45835</v>
      </c>
      <c r="F89" s="37">
        <f>IF(AND(D89&lt;&gt;"",E89&lt;&gt;""),E89-D89,"")</f>
        <v/>
      </c>
      <c r="G89" s="38" t="inlineStr">
        <is>
          <t>Planned</t>
        </is>
      </c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</row>
    <row r="90" ht="14" customHeight="1">
      <c r="A90" s="26" t="n">
        <v>77</v>
      </c>
      <c r="B90" s="39" t="inlineStr">
        <is>
          <t xml:space="preserve">      CUST_ContractorCost, CUST_OPEXDriverCalc, CUST_HCtoOPEXLink (Sprint 4 rules)</t>
        </is>
      </c>
      <c r="C90" s="28" t="inlineStr">
        <is>
          <t>PwC</t>
        </is>
      </c>
      <c r="D90" s="36" t="n">
        <v>45810</v>
      </c>
      <c r="E90" s="36" t="n">
        <v>45821</v>
      </c>
      <c r="F90" s="30">
        <f>IF(AND(D90&lt;&gt;"",E90&lt;&gt;""),E90-D90,"")</f>
        <v/>
      </c>
      <c r="G90" s="38" t="inlineStr">
        <is>
          <t>Planned</t>
        </is>
      </c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</row>
    <row r="91" ht="14" customHeight="1">
      <c r="A91" s="33" t="n">
        <v>78</v>
      </c>
      <c r="B91" s="34" t="inlineStr">
        <is>
          <t xml:space="preserve">      CUST_ICPSpread &amp; CUST_BORAllocation — below-the-line ICP &amp; pool allocation</t>
        </is>
      </c>
      <c r="C91" s="35" t="inlineStr">
        <is>
          <t>PwC</t>
        </is>
      </c>
      <c r="D91" s="36" t="n">
        <v>45810</v>
      </c>
      <c r="E91" s="36" t="n">
        <v>45821</v>
      </c>
      <c r="F91" s="37">
        <f>IF(AND(D91&lt;&gt;"",E91&lt;&gt;""),E91-D91,"")</f>
        <v/>
      </c>
      <c r="G91" s="38" t="inlineStr">
        <is>
          <t>Planned</t>
        </is>
      </c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</row>
    <row r="92" ht="14" customHeight="1">
      <c r="A92" s="26" t="n">
        <v>79</v>
      </c>
      <c r="B92" s="39" t="inlineStr">
        <is>
          <t xml:space="preserve">      CUST_ScenarioVariance: Budget vs Forecast vs Actual ($ var, % var, FTE var)</t>
        </is>
      </c>
      <c r="C92" s="28" t="inlineStr">
        <is>
          <t>PwC</t>
        </is>
      </c>
      <c r="D92" s="36" t="n">
        <v>45817</v>
      </c>
      <c r="E92" s="36" t="n">
        <v>45828</v>
      </c>
      <c r="F92" s="30">
        <f>IF(AND(D92&lt;&gt;"",E92&lt;&gt;""),E92-D92,"")</f>
        <v/>
      </c>
      <c r="G92" s="38" t="inlineStr">
        <is>
          <t>Planned</t>
        </is>
      </c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</row>
    <row r="93" ht="14" customHeight="1">
      <c r="A93" s="33" t="n">
        <v>80</v>
      </c>
      <c r="B93" s="34" t="inlineStr">
        <is>
          <t xml:space="preserve">      All input forms — Position planning, New Hire/Attrition, OPEX G&amp;A by cost centre</t>
        </is>
      </c>
      <c r="C93" s="35" t="inlineStr">
        <is>
          <t>PwC</t>
        </is>
      </c>
      <c r="D93" s="36" t="n">
        <v>45810</v>
      </c>
      <c r="E93" s="36" t="n">
        <v>45828</v>
      </c>
      <c r="F93" s="37">
        <f>IF(AND(D93&lt;&gt;"",E93&lt;&gt;""),E93-D93,"")</f>
        <v/>
      </c>
      <c r="G93" s="38" t="inlineStr">
        <is>
          <t>Planned</t>
        </is>
      </c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</row>
    <row r="94" ht="14" customHeight="1">
      <c r="A94" s="26" t="n">
        <v>81</v>
      </c>
      <c r="B94" s="39" t="inlineStr">
        <is>
          <t xml:space="preserve">      Management dashboards — HC summary, OPEX view, FTE gap alerts, variance tiles</t>
        </is>
      </c>
      <c r="C94" s="28" t="inlineStr">
        <is>
          <t>PwC</t>
        </is>
      </c>
      <c r="D94" s="36" t="n">
        <v>45817</v>
      </c>
      <c r="E94" s="36" t="n">
        <v>45828</v>
      </c>
      <c r="F94" s="30">
        <f>IF(AND(D94&lt;&gt;"",E94&lt;&gt;""),E94-D94,"")</f>
        <v/>
      </c>
      <c r="G94" s="38" t="inlineStr">
        <is>
          <t>Planned</t>
        </is>
      </c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</row>
    <row r="95" ht="14" customHeight="1">
      <c r="A95" s="33" t="n">
        <v>82</v>
      </c>
      <c r="B95" s="34" t="inlineStr">
        <is>
          <t xml:space="preserve">      Narrative Reporting — WFP Management Report template (Oracle NR)</t>
        </is>
      </c>
      <c r="C95" s="35" t="inlineStr">
        <is>
          <t>PwC / Finance</t>
        </is>
      </c>
      <c r="D95" s="36" t="n">
        <v>45824</v>
      </c>
      <c r="E95" s="36" t="n">
        <v>45835</v>
      </c>
      <c r="F95" s="37">
        <f>IF(AND(D95&lt;&gt;"",E95&lt;&gt;""),E95-D95,"")</f>
        <v/>
      </c>
      <c r="G95" s="38" t="inlineStr">
        <is>
          <t>Planned</t>
        </is>
      </c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</row>
    <row r="96" ht="14" customHeight="1">
      <c r="A96" s="26" t="n">
        <v>83</v>
      </c>
      <c r="B96" s="39" t="inlineStr">
        <is>
          <t xml:space="preserve">      Security role hardening — final role-based access validation (TEST env)</t>
        </is>
      </c>
      <c r="C96" s="28" t="inlineStr">
        <is>
          <t>IT Sec / PwC</t>
        </is>
      </c>
      <c r="D96" s="36" t="n">
        <v>45817</v>
      </c>
      <c r="E96" s="36" t="n">
        <v>45821</v>
      </c>
      <c r="F96" s="30">
        <f>IF(AND(D96&lt;&gt;"",E96&lt;&gt;""),E96-D96,"")</f>
        <v/>
      </c>
      <c r="G96" s="38" t="inlineStr">
        <is>
          <t>Planned</t>
        </is>
      </c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</row>
    <row r="97" ht="14" customHeight="1">
      <c r="A97" s="33" t="n">
        <v>84</v>
      </c>
      <c r="B97" s="34" t="inlineStr">
        <is>
          <t xml:space="preserve">      Data conversion: full TEST environment load — positions, 3yr actuals, FY25 data</t>
        </is>
      </c>
      <c r="C97" s="35" t="inlineStr">
        <is>
          <t>PwC / IT</t>
        </is>
      </c>
      <c r="D97" s="36" t="n">
        <v>45824</v>
      </c>
      <c r="E97" s="36" t="n">
        <v>45835</v>
      </c>
      <c r="F97" s="37">
        <f>IF(AND(D97&lt;&gt;"",E97&lt;&gt;""),E97-D97,"")</f>
        <v/>
      </c>
      <c r="G97" s="38" t="inlineStr">
        <is>
          <t>Planned</t>
        </is>
      </c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</row>
    <row r="98" ht="14" customHeight="1">
      <c r="A98" s="26" t="n">
        <v>85</v>
      </c>
      <c r="B98" s="39" t="inlineStr">
        <is>
          <t xml:space="preserve">      SIT test scripts preparation — 120+ test cases mapped to RTM</t>
        </is>
      </c>
      <c r="C98" s="28" t="inlineStr">
        <is>
          <t>PwC</t>
        </is>
      </c>
      <c r="D98" s="36" t="n">
        <v>45824</v>
      </c>
      <c r="E98" s="36" t="n">
        <v>45835</v>
      </c>
      <c r="F98" s="30">
        <f>IF(AND(D98&lt;&gt;"",E98&lt;&gt;""),E98-D98,"")</f>
        <v/>
      </c>
      <c r="G98" s="38" t="inlineStr">
        <is>
          <t>Planned</t>
        </is>
      </c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</row>
    <row r="99" ht="14" customHeight="1">
      <c r="A99" s="33" t="n">
        <v>86</v>
      </c>
      <c r="B99" s="34" t="inlineStr">
        <is>
          <t xml:space="preserve">      SIT entry criteria review — environment readiness, defect log baseline</t>
        </is>
      </c>
      <c r="C99" s="35" t="inlineStr">
        <is>
          <t>PwC PMO</t>
        </is>
      </c>
      <c r="D99" s="36" t="n">
        <v>45831</v>
      </c>
      <c r="E99" s="36" t="n">
        <v>45835</v>
      </c>
      <c r="F99" s="37">
        <f>IF(AND(D99&lt;&gt;"",E99&lt;&gt;""),E99-D99,"")</f>
        <v/>
      </c>
      <c r="G99" s="38" t="inlineStr">
        <is>
          <t>Planned</t>
        </is>
      </c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</row>
    <row r="100" ht="14" customHeight="1">
      <c r="A100" s="26" t="n">
        <v>87</v>
      </c>
      <c r="B100" s="39" t="inlineStr">
        <is>
          <t xml:space="preserve">      Sprint 4 Playback — full system walkthrough; SIT readiness sign-off</t>
        </is>
      </c>
      <c r="C100" s="28" t="inlineStr">
        <is>
          <t>PMO / Sponsor</t>
        </is>
      </c>
      <c r="D100" s="36" t="n">
        <v>45835</v>
      </c>
      <c r="E100" s="36" t="n">
        <v>45835</v>
      </c>
      <c r="F100" s="30">
        <f>IF(AND(D100&lt;&gt;"",E100&lt;&gt;""),E100-D100,"")</f>
        <v/>
      </c>
      <c r="G100" s="38" t="inlineStr">
        <is>
          <t>Planned</t>
        </is>
      </c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</row>
    <row r="101" ht="17" customHeight="1">
      <c r="A101" s="40" t="inlineStr"/>
      <c r="B101" s="62" t="inlineStr">
        <is>
          <t>PHASE 4 — SYSTEM INTEGRATION TESTING (SIT)  (Late June – Mid July)</t>
        </is>
      </c>
      <c r="C101" s="42" t="inlineStr">
        <is>
          <t>PwC</t>
        </is>
      </c>
      <c r="D101" s="63" t="n">
        <v>45838</v>
      </c>
      <c r="E101" s="63" t="n">
        <v>45849</v>
      </c>
      <c r="F101" s="44">
        <f>(E101-D101)</f>
        <v/>
      </c>
      <c r="G101" s="64" t="inlineStr">
        <is>
          <t>Planned</t>
        </is>
      </c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</row>
    <row r="102" ht="14" customHeight="1">
      <c r="A102" s="33" t="n">
        <v>88</v>
      </c>
      <c r="B102" s="57" t="inlineStr">
        <is>
          <t>4.1  SIT Preparation &amp; Training</t>
        </is>
      </c>
      <c r="C102" s="35" t="inlineStr">
        <is>
          <t>PwC / Finance</t>
        </is>
      </c>
      <c r="D102" s="29" t="n">
        <v>45838</v>
      </c>
      <c r="E102" s="29" t="n">
        <v>45842</v>
      </c>
      <c r="F102" s="37">
        <f>IF(AND(D102&lt;&gt;"",E102&lt;&gt;""),E102-D102,"")</f>
        <v/>
      </c>
      <c r="G102" s="38" t="inlineStr">
        <is>
          <t>Planned</t>
        </is>
      </c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</row>
    <row r="103" ht="14" customHeight="1">
      <c r="A103" s="26" t="n">
        <v>89</v>
      </c>
      <c r="B103" s="39" t="inlineStr">
        <is>
          <t xml:space="preserve">      SIT tester onboarding &amp; environment access (TEST env)</t>
        </is>
      </c>
      <c r="C103" s="28" t="inlineStr">
        <is>
          <t>IT / PwC</t>
        </is>
      </c>
      <c r="D103" s="36" t="n">
        <v>45838</v>
      </c>
      <c r="E103" s="36" t="n">
        <v>45842</v>
      </c>
      <c r="F103" s="30">
        <f>IF(AND(D103&lt;&gt;"",E103&lt;&gt;""),E103-D103,"")</f>
        <v/>
      </c>
      <c r="G103" s="38" t="inlineStr">
        <is>
          <t>Planned</t>
        </is>
      </c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</row>
    <row r="104" ht="14" customHeight="1">
      <c r="A104" s="33" t="n">
        <v>90</v>
      </c>
      <c r="B104" s="34" t="inlineStr">
        <is>
          <t xml:space="preserve">      SIT test script walkthrough &amp; tester briefing session</t>
        </is>
      </c>
      <c r="C104" s="35" t="inlineStr">
        <is>
          <t>PwC</t>
        </is>
      </c>
      <c r="D104" s="36" t="n">
        <v>45838</v>
      </c>
      <c r="E104" s="36" t="n">
        <v>45842</v>
      </c>
      <c r="F104" s="37">
        <f>IF(AND(D104&lt;&gt;"",E104&lt;&gt;""),E104-D104,"")</f>
        <v/>
      </c>
      <c r="G104" s="38" t="inlineStr">
        <is>
          <t>Planned</t>
        </is>
      </c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</row>
    <row r="105" ht="14" customHeight="1">
      <c r="A105" s="26" t="n">
        <v>91</v>
      </c>
      <c r="B105" s="39" t="inlineStr">
        <is>
          <t xml:space="preserve">      Defect management tool setup (ADO / JIRA) — severity matrix confirmed</t>
        </is>
      </c>
      <c r="C105" s="28" t="inlineStr">
        <is>
          <t>PwC PMO</t>
        </is>
      </c>
      <c r="D105" s="36" t="n">
        <v>45838</v>
      </c>
      <c r="E105" s="36" t="n">
        <v>45842</v>
      </c>
      <c r="F105" s="30">
        <f>IF(AND(D105&lt;&gt;"",E105&lt;&gt;""),E105-D105,"")</f>
        <v/>
      </c>
      <c r="G105" s="38" t="inlineStr">
        <is>
          <t>Planned</t>
        </is>
      </c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</row>
    <row r="106" ht="14" customHeight="1">
      <c r="A106" s="33" t="n">
        <v>92</v>
      </c>
      <c r="B106" s="57" t="inlineStr">
        <is>
          <t>4.2  SIT Execution — End-to-End Test Cycles</t>
        </is>
      </c>
      <c r="C106" s="35" t="inlineStr">
        <is>
          <t>PwC</t>
        </is>
      </c>
      <c r="D106" s="29" t="n">
        <v>45845</v>
      </c>
      <c r="E106" s="29" t="n">
        <v>45856</v>
      </c>
      <c r="F106" s="37">
        <f>IF(AND(D106&lt;&gt;"",E106&lt;&gt;""),E106-D106,"")</f>
        <v/>
      </c>
      <c r="G106" s="38" t="inlineStr">
        <is>
          <t>Planned</t>
        </is>
      </c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</row>
    <row r="107" ht="14" customHeight="1">
      <c r="A107" s="26" t="n">
        <v>93</v>
      </c>
      <c r="B107" s="39" t="inlineStr">
        <is>
          <t xml:space="preserve">      SIT-01: Dimension &amp; metadata integrity (all 7 dims, hierarchy rollups)</t>
        </is>
      </c>
      <c r="C107" s="28" t="inlineStr">
        <is>
          <t>PwC</t>
        </is>
      </c>
      <c r="D107" s="36" t="n">
        <v>45845</v>
      </c>
      <c r="E107" s="36" t="n">
        <v>45849</v>
      </c>
      <c r="F107" s="30">
        <f>IF(AND(D107&lt;&gt;"",E107&lt;&gt;""),E107-D107,"")</f>
        <v/>
      </c>
      <c r="G107" s="38" t="inlineStr">
        <is>
          <t>Planned</t>
        </is>
      </c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</row>
    <row r="108" ht="14" customHeight="1">
      <c r="A108" s="33" t="n">
        <v>94</v>
      </c>
      <c r="B108" s="34" t="inlineStr">
        <is>
          <t xml:space="preserve">      SIT-02: All 20 calc rules — end-to-end compensation &amp; WFP validation</t>
        </is>
      </c>
      <c r="C108" s="35" t="inlineStr">
        <is>
          <t>PwC</t>
        </is>
      </c>
      <c r="D108" s="36" t="n">
        <v>45845</v>
      </c>
      <c r="E108" s="36" t="n">
        <v>45849</v>
      </c>
      <c r="F108" s="37">
        <f>IF(AND(D108&lt;&gt;"",E108&lt;&gt;""),E108-D108,"")</f>
        <v/>
      </c>
      <c r="G108" s="38" t="inlineStr">
        <is>
          <t>Planned</t>
        </is>
      </c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</row>
    <row r="109" ht="14" customHeight="1">
      <c r="A109" s="26" t="n">
        <v>95</v>
      </c>
      <c r="B109" s="39" t="inlineStr">
        <is>
          <t xml:space="preserve">      SIT-03: OPEX G&amp;A driver validation — HC-linked &amp; non-HC OPEX lines</t>
        </is>
      </c>
      <c r="C109" s="28" t="inlineStr">
        <is>
          <t>PwC / Finance</t>
        </is>
      </c>
      <c r="D109" s="36" t="n">
        <v>45845</v>
      </c>
      <c r="E109" s="36" t="n">
        <v>45849</v>
      </c>
      <c r="F109" s="30">
        <f>IF(AND(D109&lt;&gt;"",E109&lt;&gt;""),E109-D109,"")</f>
        <v/>
      </c>
      <c r="G109" s="38" t="inlineStr">
        <is>
          <t>Planned</t>
        </is>
      </c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</row>
    <row r="110" ht="14" customHeight="1">
      <c r="A110" s="33" t="n">
        <v>96</v>
      </c>
      <c r="B110" s="34" t="inlineStr">
        <is>
          <t xml:space="preserve">      SIT-04: Integration data load testing — HRIS→EPM, ERP→EPM, Automate</t>
        </is>
      </c>
      <c r="C110" s="35" t="inlineStr">
        <is>
          <t>PwC / IT</t>
        </is>
      </c>
      <c r="D110" s="36" t="n">
        <v>45845</v>
      </c>
      <c r="E110" s="36" t="n">
        <v>45849</v>
      </c>
      <c r="F110" s="37">
        <f>IF(AND(D110&lt;&gt;"",E110&lt;&gt;""),E110-D110,"")</f>
        <v/>
      </c>
      <c r="G110" s="38" t="inlineStr">
        <is>
          <t>Planned</t>
        </is>
      </c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</row>
    <row r="111" ht="14" customHeight="1">
      <c r="A111" s="26" t="n">
        <v>97</v>
      </c>
      <c r="B111" s="39" t="inlineStr">
        <is>
          <t xml:space="preserve">      SIT-05: Security &amp; role-based access validation (all 4 roles)</t>
        </is>
      </c>
      <c r="C111" s="28" t="inlineStr">
        <is>
          <t>IT Sec</t>
        </is>
      </c>
      <c r="D111" s="36" t="n">
        <v>45845</v>
      </c>
      <c r="E111" s="36" t="n">
        <v>45849</v>
      </c>
      <c r="F111" s="30">
        <f>IF(AND(D111&lt;&gt;"",E111&lt;&gt;""),E111-D111,"")</f>
        <v/>
      </c>
      <c r="G111" s="38" t="inlineStr">
        <is>
          <t>Planned</t>
        </is>
      </c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</row>
    <row r="112" ht="14" customHeight="1">
      <c r="A112" s="33" t="n">
        <v>98</v>
      </c>
      <c r="B112" s="34" t="inlineStr">
        <is>
          <t xml:space="preserve">      SIT-06: Forms, dashboards &amp; Narrative Reporting functional testing</t>
        </is>
      </c>
      <c r="C112" s="35" t="inlineStr">
        <is>
          <t>PwC</t>
        </is>
      </c>
      <c r="D112" s="36" t="n">
        <v>45845</v>
      </c>
      <c r="E112" s="36" t="n">
        <v>45849</v>
      </c>
      <c r="F112" s="37">
        <f>IF(AND(D112&lt;&gt;"",E112&lt;&gt;""),E112-D112,"")</f>
        <v/>
      </c>
      <c r="G112" s="38" t="inlineStr">
        <is>
          <t>Planned</t>
        </is>
      </c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</row>
    <row r="113" ht="14" customHeight="1">
      <c r="A113" s="26" t="n">
        <v>99</v>
      </c>
      <c r="B113" s="39" t="inlineStr">
        <is>
          <t xml:space="preserve">      SIT-07: Performance &amp; concurrent-user load testing</t>
        </is>
      </c>
      <c r="C113" s="28" t="inlineStr">
        <is>
          <t>PwC / IT</t>
        </is>
      </c>
      <c r="D113" s="36" t="n">
        <v>45845</v>
      </c>
      <c r="E113" s="36" t="n">
        <v>45849</v>
      </c>
      <c r="F113" s="30">
        <f>IF(AND(D113&lt;&gt;"",E113&lt;&gt;""),E113-D113,"")</f>
        <v/>
      </c>
      <c r="G113" s="38" t="inlineStr">
        <is>
          <t>Planned</t>
        </is>
      </c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</row>
    <row r="114" ht="14" customHeight="1">
      <c r="A114" s="33" t="n">
        <v>100</v>
      </c>
      <c r="B114" s="34" t="inlineStr">
        <is>
          <t xml:space="preserve">      SIT defect log — P1/P2 triage, assignment &amp; resolution tracking</t>
        </is>
      </c>
      <c r="C114" s="35" t="inlineStr">
        <is>
          <t>PwC PMO</t>
        </is>
      </c>
      <c r="D114" s="36" t="n">
        <v>45845</v>
      </c>
      <c r="E114" s="36" t="n">
        <v>45856</v>
      </c>
      <c r="F114" s="37">
        <f>IF(AND(D114&lt;&gt;"",E114&lt;&gt;""),E114-D114,"")</f>
        <v/>
      </c>
      <c r="G114" s="38" t="inlineStr">
        <is>
          <t>Planned</t>
        </is>
      </c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</row>
    <row r="115" ht="14" customHeight="1">
      <c r="A115" s="26" t="n">
        <v>101</v>
      </c>
      <c r="B115" s="39" t="inlineStr">
        <is>
          <t xml:space="preserve">      SIT regression testing — re-test after P1/P2 defect fixes</t>
        </is>
      </c>
      <c r="C115" s="28" t="inlineStr">
        <is>
          <t>PwC</t>
        </is>
      </c>
      <c r="D115" s="36" t="n">
        <v>45852</v>
      </c>
      <c r="E115" s="36" t="n">
        <v>45856</v>
      </c>
      <c r="F115" s="30">
        <f>IF(AND(D115&lt;&gt;"",E115&lt;&gt;""),E115-D115,"")</f>
        <v/>
      </c>
      <c r="G115" s="38" t="inlineStr">
        <is>
          <t>Planned</t>
        </is>
      </c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</row>
    <row r="116" ht="14" customHeight="1">
      <c r="A116" s="33" t="n">
        <v>102</v>
      </c>
      <c r="B116" s="34" t="inlineStr">
        <is>
          <t xml:space="preserve">      Data conversion: UAT environment full data load &amp; reconciliation</t>
        </is>
      </c>
      <c r="C116" s="35" t="inlineStr">
        <is>
          <t>PwC / IT</t>
        </is>
      </c>
      <c r="D116" s="36" t="n">
        <v>45852</v>
      </c>
      <c r="E116" s="36" t="n">
        <v>45856</v>
      </c>
      <c r="F116" s="37">
        <f>IF(AND(D116&lt;&gt;"",E116&lt;&gt;""),E116-D116,"")</f>
        <v/>
      </c>
      <c r="G116" s="38" t="inlineStr">
        <is>
          <t>Planned</t>
        </is>
      </c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</row>
    <row r="117" ht="16" customHeight="1">
      <c r="A117" s="47" t="inlineStr">
        <is>
          <t>▲</t>
        </is>
      </c>
      <c r="B117" s="48" t="inlineStr">
        <is>
          <t>▲ SIT EXIT — 0 P1 defects; all 120 test cases executed; SIT sign-off</t>
        </is>
      </c>
      <c r="C117" s="49" t="inlineStr">
        <is>
          <t>PwC PMO / Sponsor</t>
        </is>
      </c>
      <c r="D117" s="50" t="n">
        <v>45856</v>
      </c>
      <c r="E117" s="50" t="n">
        <v>45856</v>
      </c>
      <c r="F117" s="51" t="n"/>
      <c r="G117" s="52" t="inlineStr">
        <is>
          <t>Planned</t>
        </is>
      </c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</row>
    <row r="118" ht="17" customHeight="1">
      <c r="A118" s="40" t="inlineStr"/>
      <c r="B118" s="65" t="inlineStr">
        <is>
          <t>PHASE 5 — USER ACCEPTANCE TESTING (UAT)  (July)</t>
        </is>
      </c>
      <c r="C118" s="42" t="inlineStr">
        <is>
          <t>Finance / HR / FP&amp;A</t>
        </is>
      </c>
      <c r="D118" s="66" t="n">
        <v>45859</v>
      </c>
      <c r="E118" s="66" t="n">
        <v>45870</v>
      </c>
      <c r="F118" s="44">
        <f>(E118-D118)</f>
        <v/>
      </c>
      <c r="G118" s="67" t="inlineStr">
        <is>
          <t>Planned</t>
        </is>
      </c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</row>
    <row r="119" ht="14" customHeight="1">
      <c r="A119" s="26" t="n">
        <v>103</v>
      </c>
      <c r="B119" s="27" t="inlineStr">
        <is>
          <t>5.1  UAT Preparation</t>
        </is>
      </c>
      <c r="C119" s="28" t="inlineStr">
        <is>
          <t>PwC / Finance</t>
        </is>
      </c>
      <c r="D119" s="29" t="n">
        <v>45859</v>
      </c>
      <c r="E119" s="29" t="n">
        <v>45863</v>
      </c>
      <c r="F119" s="30">
        <f>IF(AND(D119&lt;&gt;"",E119&lt;&gt;""),E119-D119,"")</f>
        <v/>
      </c>
      <c r="G119" s="38" t="inlineStr">
        <is>
          <t>Planned</t>
        </is>
      </c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</row>
    <row r="120" ht="14" customHeight="1">
      <c r="A120" s="33" t="n">
        <v>104</v>
      </c>
      <c r="B120" s="34" t="inlineStr">
        <is>
          <t xml:space="preserve">      UAT environment final validation — data quality &amp; access check</t>
        </is>
      </c>
      <c r="C120" s="35" t="inlineStr">
        <is>
          <t>IT / PwC</t>
        </is>
      </c>
      <c r="D120" s="36" t="n">
        <v>45859</v>
      </c>
      <c r="E120" s="36" t="n">
        <v>45863</v>
      </c>
      <c r="F120" s="37">
        <f>IF(AND(D120&lt;&gt;"",E120&lt;&gt;""),E120-D120,"")</f>
        <v/>
      </c>
      <c r="G120" s="38" t="inlineStr">
        <is>
          <t>Planned</t>
        </is>
      </c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</row>
    <row r="121" ht="14" customHeight="1">
      <c r="A121" s="26" t="n">
        <v>105</v>
      </c>
      <c r="B121" s="39" t="inlineStr">
        <is>
          <t xml:space="preserve">      UAT business scenario design — 60+ scenarios mapped to real planning cycles</t>
        </is>
      </c>
      <c r="C121" s="28" t="inlineStr">
        <is>
          <t>PwC / Finance</t>
        </is>
      </c>
      <c r="D121" s="36" t="n">
        <v>45859</v>
      </c>
      <c r="E121" s="36" t="n">
        <v>45863</v>
      </c>
      <c r="F121" s="30">
        <f>IF(AND(D121&lt;&gt;"",E121&lt;&gt;""),E121-D121,"")</f>
        <v/>
      </c>
      <c r="G121" s="38" t="inlineStr">
        <is>
          <t>Planned</t>
        </is>
      </c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</row>
    <row r="122" ht="14" customHeight="1">
      <c r="A122" s="33" t="n">
        <v>106</v>
      </c>
      <c r="B122" s="34" t="inlineStr">
        <is>
          <t xml:space="preserve">      UAT tester training — business user orientation (Dept. Finance, HR BPs, FP&amp;A)</t>
        </is>
      </c>
      <c r="C122" s="35" t="inlineStr">
        <is>
          <t>PwC OCM</t>
        </is>
      </c>
      <c r="D122" s="36" t="n">
        <v>45859</v>
      </c>
      <c r="E122" s="36" t="n">
        <v>45863</v>
      </c>
      <c r="F122" s="37">
        <f>IF(AND(D122&lt;&gt;"",E122&lt;&gt;""),E122-D122,"")</f>
        <v/>
      </c>
      <c r="G122" s="38" t="inlineStr">
        <is>
          <t>Planned</t>
        </is>
      </c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</row>
    <row r="123" ht="14" customHeight="1">
      <c r="A123" s="26" t="n">
        <v>107</v>
      </c>
      <c r="B123" s="27" t="inlineStr">
        <is>
          <t>5.2  UAT Execution — Business-Led Validation</t>
        </is>
      </c>
      <c r="C123" s="28" t="inlineStr">
        <is>
          <t>Finance / HR / FP&amp;A</t>
        </is>
      </c>
      <c r="D123" s="29" t="n">
        <v>45866</v>
      </c>
      <c r="E123" s="29" t="n">
        <v>45870</v>
      </c>
      <c r="F123" s="30">
        <f>IF(AND(D123&lt;&gt;"",E123&lt;&gt;""),E123-D123,"")</f>
        <v/>
      </c>
      <c r="G123" s="38" t="inlineStr">
        <is>
          <t>Planned</t>
        </is>
      </c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</row>
    <row r="124" ht="14" customHeight="1">
      <c r="A124" s="33" t="n">
        <v>108</v>
      </c>
      <c r="B124" s="34" t="inlineStr">
        <is>
          <t xml:space="preserve">      UAT Cycle 1 — Position planning, submission &amp; approval workflow</t>
        </is>
      </c>
      <c r="C124" s="35" t="inlineStr">
        <is>
          <t>Dept. Finance Leads</t>
        </is>
      </c>
      <c r="D124" s="36" t="n">
        <v>45866</v>
      </c>
      <c r="E124" s="36" t="n">
        <v>45870</v>
      </c>
      <c r="F124" s="37">
        <f>IF(AND(D124&lt;&gt;"",E124&lt;&gt;""),E124-D124,"")</f>
        <v/>
      </c>
      <c r="G124" s="38" t="inlineStr">
        <is>
          <t>Planned</t>
        </is>
      </c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</row>
    <row r="125" ht="14" customHeight="1">
      <c r="A125" s="26" t="n">
        <v>109</v>
      </c>
      <c r="B125" s="39" t="inlineStr">
        <is>
          <t xml:space="preserve">      UAT Cycle 2 — New hire/attrition planning; comp calc validation</t>
        </is>
      </c>
      <c r="C125" s="28" t="inlineStr">
        <is>
          <t>HR BPs</t>
        </is>
      </c>
      <c r="D125" s="36" t="n">
        <v>45866</v>
      </c>
      <c r="E125" s="36" t="n">
        <v>45870</v>
      </c>
      <c r="F125" s="30">
        <f>IF(AND(D125&lt;&gt;"",E125&lt;&gt;""),E125-D125,"")</f>
        <v/>
      </c>
      <c r="G125" s="38" t="inlineStr">
        <is>
          <t>Planned</t>
        </is>
      </c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</row>
    <row r="126" ht="14" customHeight="1">
      <c r="A126" s="33" t="n">
        <v>110</v>
      </c>
      <c r="B126" s="34" t="inlineStr">
        <is>
          <t xml:space="preserve">      UAT Cycle 3 — OPEX G&amp;A by cost centre; variance vs Budget</t>
        </is>
      </c>
      <c r="C126" s="35" t="inlineStr">
        <is>
          <t>FP&amp;A</t>
        </is>
      </c>
      <c r="D126" s="36" t="n">
        <v>45866</v>
      </c>
      <c r="E126" s="36" t="n">
        <v>45870</v>
      </c>
      <c r="F126" s="37">
        <f>IF(AND(D126&lt;&gt;"",E126&lt;&gt;""),E126-D126,"")</f>
        <v/>
      </c>
      <c r="G126" s="38" t="inlineStr">
        <is>
          <t>Planned</t>
        </is>
      </c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</row>
    <row r="127" ht="14" customHeight="1">
      <c r="A127" s="26" t="n">
        <v>111</v>
      </c>
      <c r="B127" s="39" t="inlineStr">
        <is>
          <t xml:space="preserve">      UAT Cycle 4 — Management dashboards, infolets, Narrative Reporting</t>
        </is>
      </c>
      <c r="C127" s="28" t="inlineStr">
        <is>
          <t>CFO Office / FP&amp;A</t>
        </is>
      </c>
      <c r="D127" s="36" t="n">
        <v>45866</v>
      </c>
      <c r="E127" s="36" t="n">
        <v>45870</v>
      </c>
      <c r="F127" s="30">
        <f>IF(AND(D127&lt;&gt;"",E127&lt;&gt;""),E127-D127,"")</f>
        <v/>
      </c>
      <c r="G127" s="38" t="inlineStr">
        <is>
          <t>Planned</t>
        </is>
      </c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</row>
    <row r="128" ht="14" customHeight="1">
      <c r="A128" s="33" t="n">
        <v>112</v>
      </c>
      <c r="B128" s="34" t="inlineStr">
        <is>
          <t xml:space="preserve">      UAT defect log — P1/P2 resolution, regression, sign-off workflow</t>
        </is>
      </c>
      <c r="C128" s="35" t="inlineStr">
        <is>
          <t>PwC PMO</t>
        </is>
      </c>
      <c r="D128" s="36" t="n">
        <v>45866</v>
      </c>
      <c r="E128" s="36" t="n">
        <v>45870</v>
      </c>
      <c r="F128" s="37">
        <f>IF(AND(D128&lt;&gt;"",E128&lt;&gt;""),E128-D128,"")</f>
        <v/>
      </c>
      <c r="G128" s="38" t="inlineStr">
        <is>
          <t>Planned</t>
        </is>
      </c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</row>
    <row r="129" ht="14" customHeight="1">
      <c r="A129" s="26" t="n">
        <v>113</v>
      </c>
      <c r="B129" s="39" t="inlineStr">
        <is>
          <t xml:space="preserve">      Go-Live readiness confirmation — business sign-off checklist</t>
        </is>
      </c>
      <c r="C129" s="28" t="inlineStr">
        <is>
          <t>CFO / Sponsor</t>
        </is>
      </c>
      <c r="D129" s="36" t="n">
        <v>45870</v>
      </c>
      <c r="E129" s="36" t="n">
        <v>45870</v>
      </c>
      <c r="F129" s="30">
        <f>IF(AND(D129&lt;&gt;"",E129&lt;&gt;""),E129-D129,"")</f>
        <v/>
      </c>
      <c r="G129" s="38" t="inlineStr">
        <is>
          <t>Planned</t>
        </is>
      </c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</row>
    <row r="130" ht="16" customHeight="1">
      <c r="A130" s="47" t="inlineStr">
        <is>
          <t>▲</t>
        </is>
      </c>
      <c r="B130" s="48" t="inlineStr">
        <is>
          <t>▲ UAT SIGN-OFF — CFO &amp; Sponsor signature; 0 P1 open; Go-Live authorized</t>
        </is>
      </c>
      <c r="C130" s="49" t="inlineStr">
        <is>
          <t>CFO / Sponsor</t>
        </is>
      </c>
      <c r="D130" s="50" t="n">
        <v>45870</v>
      </c>
      <c r="E130" s="50" t="n">
        <v>45870</v>
      </c>
      <c r="F130" s="51" t="n"/>
      <c r="G130" s="52" t="inlineStr">
        <is>
          <t>Planned</t>
        </is>
      </c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</row>
    <row r="131" ht="17" customHeight="1">
      <c r="A131" s="40" t="inlineStr"/>
      <c r="B131" s="68" t="inlineStr">
        <is>
          <t>PHASE 6 — PRODUCTION RELEASE / GO-LIVE  (August)</t>
        </is>
      </c>
      <c r="C131" s="42" t="inlineStr">
        <is>
          <t>PwC / IT / Sponsor</t>
        </is>
      </c>
      <c r="D131" s="69" t="n">
        <v>45873</v>
      </c>
      <c r="E131" s="69" t="n">
        <v>45889</v>
      </c>
      <c r="F131" s="44">
        <f>(E131-D131)</f>
        <v/>
      </c>
      <c r="G131" s="70" t="inlineStr">
        <is>
          <t>Planned</t>
        </is>
      </c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</row>
    <row r="132" ht="14" customHeight="1">
      <c r="A132" s="33" t="n">
        <v>114</v>
      </c>
      <c r="B132" s="57" t="inlineStr">
        <is>
          <t>6.1  Cutover Planning &amp; Execution</t>
        </is>
      </c>
      <c r="C132" s="35" t="inlineStr">
        <is>
          <t>PwC PMO / IT</t>
        </is>
      </c>
      <c r="D132" s="29" t="n">
        <v>45873</v>
      </c>
      <c r="E132" s="29" t="n">
        <v>45884</v>
      </c>
      <c r="F132" s="37">
        <f>IF(AND(D132&lt;&gt;"",E132&lt;&gt;""),E132-D132,"")</f>
        <v/>
      </c>
      <c r="G132" s="38" t="inlineStr">
        <is>
          <t>Planned</t>
        </is>
      </c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</row>
    <row r="133" ht="14" customHeight="1">
      <c r="A133" s="26" t="n">
        <v>115</v>
      </c>
      <c r="B133" s="39" t="inlineStr">
        <is>
          <t xml:space="preserve">      Cutover plan — detailed run-book with hour-by-hour task assignments</t>
        </is>
      </c>
      <c r="C133" s="28" t="inlineStr">
        <is>
          <t>PwC PMO</t>
        </is>
      </c>
      <c r="D133" s="36" t="n">
        <v>45873</v>
      </c>
      <c r="E133" s="36" t="n">
        <v>45877</v>
      </c>
      <c r="F133" s="30">
        <f>IF(AND(D133&lt;&gt;"",E133&lt;&gt;""),E133-D133,"")</f>
        <v/>
      </c>
      <c r="G133" s="38" t="inlineStr">
        <is>
          <t>Planned</t>
        </is>
      </c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</row>
    <row r="134" ht="14" customHeight="1">
      <c r="A134" s="33" t="n">
        <v>116</v>
      </c>
      <c r="B134" s="34" t="inlineStr">
        <is>
          <t xml:space="preserve">      PROD environment final configuration &amp; security hardening</t>
        </is>
      </c>
      <c r="C134" s="35" t="inlineStr">
        <is>
          <t>IT / PwC</t>
        </is>
      </c>
      <c r="D134" s="36" t="n">
        <v>45873</v>
      </c>
      <c r="E134" s="36" t="n">
        <v>45877</v>
      </c>
      <c r="F134" s="37">
        <f>IF(AND(D134&lt;&gt;"",E134&lt;&gt;""),E134-D134,"")</f>
        <v/>
      </c>
      <c r="G134" s="38" t="inlineStr">
        <is>
          <t>Planned</t>
        </is>
      </c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</row>
    <row r="135" ht="14" customHeight="1">
      <c r="A135" s="26" t="n">
        <v>117</v>
      </c>
      <c r="B135" s="39" t="inlineStr">
        <is>
          <t xml:space="preserve">      Data conversion: PROD load — 3yr actuals, FY25 Budget/Forecast, positions</t>
        </is>
      </c>
      <c r="C135" s="28" t="inlineStr">
        <is>
          <t>IT / PwC</t>
        </is>
      </c>
      <c r="D135" s="36" t="n">
        <v>45873</v>
      </c>
      <c r="E135" s="36" t="n">
        <v>45884</v>
      </c>
      <c r="F135" s="30">
        <f>IF(AND(D135&lt;&gt;"",E135&lt;&gt;""),E135-D135,"")</f>
        <v/>
      </c>
      <c r="G135" s="38" t="inlineStr">
        <is>
          <t>Planned</t>
        </is>
      </c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</row>
    <row r="136" ht="14" customHeight="1">
      <c r="A136" s="33" t="n">
        <v>118</v>
      </c>
      <c r="B136" s="34" t="inlineStr">
        <is>
          <t xml:space="preserve">      PROD data reconciliation — Finance sign-off vs source system</t>
        </is>
      </c>
      <c r="C136" s="35" t="inlineStr">
        <is>
          <t>Finance / IT</t>
        </is>
      </c>
      <c r="D136" s="36" t="n">
        <v>45880</v>
      </c>
      <c r="E136" s="36" t="n">
        <v>45884</v>
      </c>
      <c r="F136" s="37">
        <f>IF(AND(D136&lt;&gt;"",E136&lt;&gt;""),E136-D136,"")</f>
        <v/>
      </c>
      <c r="G136" s="38" t="inlineStr">
        <is>
          <t>Planned</t>
        </is>
      </c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</row>
    <row r="137" ht="14" customHeight="1">
      <c r="A137" s="26" t="n">
        <v>119</v>
      </c>
      <c r="B137" s="39" t="inlineStr">
        <is>
          <t xml:space="preserve">      End-user training delivery — Dept. Planners, HR BPs, FP&amp;A, CFO office</t>
        </is>
      </c>
      <c r="C137" s="28" t="inlineStr">
        <is>
          <t>PwC OCM</t>
        </is>
      </c>
      <c r="D137" s="36" t="n">
        <v>45873</v>
      </c>
      <c r="E137" s="36" t="n">
        <v>45884</v>
      </c>
      <c r="F137" s="30">
        <f>IF(AND(D137&lt;&gt;"",E137&lt;&gt;""),E137-D137,"")</f>
        <v/>
      </c>
      <c r="G137" s="38" t="inlineStr">
        <is>
          <t>Planned</t>
        </is>
      </c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</row>
    <row r="138" ht="14" customHeight="1">
      <c r="A138" s="33" t="n">
        <v>120</v>
      </c>
      <c r="B138" s="57" t="inlineStr">
        <is>
          <t>6.2  Go / No-Go Governance</t>
        </is>
      </c>
      <c r="C138" s="35" t="inlineStr">
        <is>
          <t>SteerCo / Sponsor</t>
        </is>
      </c>
      <c r="D138" s="29" t="n">
        <v>45887</v>
      </c>
      <c r="E138" s="29" t="n">
        <v>45889</v>
      </c>
      <c r="F138" s="37">
        <f>IF(AND(D138&lt;&gt;"",E138&lt;&gt;""),E138-D138,"")</f>
        <v/>
      </c>
      <c r="G138" s="38" t="inlineStr">
        <is>
          <t>Planned</t>
        </is>
      </c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</row>
    <row r="139" ht="14" customHeight="1">
      <c r="A139" s="26" t="n">
        <v>121</v>
      </c>
      <c r="B139" s="39" t="inlineStr">
        <is>
          <t xml:space="preserve">      Go / No-Go checklist review — 25-point criteria (tech, data, training, ops)</t>
        </is>
      </c>
      <c r="C139" s="28" t="inlineStr">
        <is>
          <t>PwC PMO</t>
        </is>
      </c>
      <c r="D139" s="36" t="n">
        <v>45887</v>
      </c>
      <c r="E139" s="36" t="n">
        <v>45887</v>
      </c>
      <c r="F139" s="30">
        <f>IF(AND(D139&lt;&gt;"",E139&lt;&gt;""),E139-D139,"")</f>
        <v/>
      </c>
      <c r="G139" s="38" t="inlineStr">
        <is>
          <t>Planned</t>
        </is>
      </c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</row>
    <row r="140" ht="14" customHeight="1">
      <c r="A140" s="33" t="n">
        <v>122</v>
      </c>
      <c r="B140" s="34" t="inlineStr">
        <is>
          <t xml:space="preserve">      SteerCo Go / No-Go decision meeting</t>
        </is>
      </c>
      <c r="C140" s="35" t="inlineStr">
        <is>
          <t>SteerCo / CIO / CFO</t>
        </is>
      </c>
      <c r="D140" s="36" t="n">
        <v>45887</v>
      </c>
      <c r="E140" s="36" t="n">
        <v>45887</v>
      </c>
      <c r="F140" s="37">
        <f>IF(AND(D140&lt;&gt;"",E140&lt;&gt;""),E140-D140,"")</f>
        <v/>
      </c>
      <c r="G140" s="38" t="inlineStr">
        <is>
          <t>Planned</t>
        </is>
      </c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</row>
    <row r="141" ht="14" customHeight="1">
      <c r="A141" s="26" t="n">
        <v>123</v>
      </c>
      <c r="B141" s="39" t="inlineStr">
        <is>
          <t xml:space="preserve">      Production system activation — EPM Automate scheduler live; user access granted</t>
        </is>
      </c>
      <c r="C141" s="28" t="inlineStr">
        <is>
          <t>IT</t>
        </is>
      </c>
      <c r="D141" s="36" t="n">
        <v>45888</v>
      </c>
      <c r="E141" s="36" t="n">
        <v>45889</v>
      </c>
      <c r="F141" s="30">
        <f>IF(AND(D141&lt;&gt;"",E141&lt;&gt;""),E141-D141,"")</f>
        <v/>
      </c>
      <c r="G141" s="38" t="inlineStr">
        <is>
          <t>Planned</t>
        </is>
      </c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</row>
    <row r="142" ht="16" customHeight="1">
      <c r="A142" s="47" t="inlineStr">
        <is>
          <t>▲</t>
        </is>
      </c>
      <c r="B142" s="48" t="inlineStr">
        <is>
          <t>▲ GO-LIVE — Oracle EPM WFP &amp; OPEX G&amp;A PRODUCTION (Aug 20)</t>
        </is>
      </c>
      <c r="C142" s="49" t="inlineStr">
        <is>
          <t>Sponsor / CIO / CFO</t>
        </is>
      </c>
      <c r="D142" s="50" t="n">
        <v>45889</v>
      </c>
      <c r="E142" s="50" t="n">
        <v>45889</v>
      </c>
      <c r="F142" s="51" t="n"/>
      <c r="G142" s="52" t="inlineStr">
        <is>
          <t>Planned</t>
        </is>
      </c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</row>
    <row r="143" ht="14" customHeight="1">
      <c r="A143" s="33" t="n">
        <v>124</v>
      </c>
      <c r="B143" s="57" t="inlineStr">
        <is>
          <t>6.3  Go-Live Hypercare Entry (Weeks 1–2)</t>
        </is>
      </c>
      <c r="C143" s="35" t="inlineStr">
        <is>
          <t>PwC</t>
        </is>
      </c>
      <c r="D143" s="29" t="n">
        <v>45889</v>
      </c>
      <c r="E143" s="29" t="n">
        <v>45905</v>
      </c>
      <c r="F143" s="37">
        <f>IF(AND(D143&lt;&gt;"",E143&lt;&gt;""),E143-D143,"")</f>
        <v/>
      </c>
      <c r="G143" s="38" t="inlineStr">
        <is>
          <t>Planned</t>
        </is>
      </c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</row>
    <row r="144" ht="14" customHeight="1">
      <c r="A144" s="26" t="n">
        <v>125</v>
      </c>
      <c r="B144" s="39" t="inlineStr">
        <is>
          <t xml:space="preserve">      Hypercare war room — daily triage, P1 4hr SLA, P2 1-day SLA</t>
        </is>
      </c>
      <c r="C144" s="28" t="inlineStr">
        <is>
          <t>PwC</t>
        </is>
      </c>
      <c r="D144" s="36" t="n">
        <v>45889</v>
      </c>
      <c r="E144" s="36" t="n">
        <v>45905</v>
      </c>
      <c r="F144" s="30">
        <f>IF(AND(D144&lt;&gt;"",E144&lt;&gt;""),E144-D144,"")</f>
        <v/>
      </c>
      <c r="G144" s="38" t="inlineStr">
        <is>
          <t>Planned</t>
        </is>
      </c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</row>
    <row r="145" ht="14" customHeight="1">
      <c r="A145" s="33" t="n">
        <v>126</v>
      </c>
      <c r="B145" s="34" t="inlineStr">
        <is>
          <t xml:space="preserve">      Super-user floor support — Dept. Finance &amp; FP&amp;A desk-side assistance</t>
        </is>
      </c>
      <c r="C145" s="35" t="inlineStr">
        <is>
          <t>PwC OCM</t>
        </is>
      </c>
      <c r="D145" s="36" t="n">
        <v>45889</v>
      </c>
      <c r="E145" s="36" t="n">
        <v>45905</v>
      </c>
      <c r="F145" s="37">
        <f>IF(AND(D145&lt;&gt;"",E145&lt;&gt;""),E145-D145,"")</f>
        <v/>
      </c>
      <c r="G145" s="38" t="inlineStr">
        <is>
          <t>Planned</t>
        </is>
      </c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</row>
    <row r="146" ht="17" customHeight="1">
      <c r="A146" s="40" t="inlineStr"/>
      <c r="B146" s="71" t="inlineStr">
        <is>
          <t>PHASE 7 — PARALLEL RUN  (Aug 21 – Oct 21)</t>
        </is>
      </c>
      <c r="C146" s="42" t="inlineStr">
        <is>
          <t>Finance / PwC</t>
        </is>
      </c>
      <c r="D146" s="72" t="n">
        <v>45890</v>
      </c>
      <c r="E146" s="72" t="n">
        <v>45947</v>
      </c>
      <c r="F146" s="44">
        <f>(E146-D146)</f>
        <v/>
      </c>
      <c r="G146" s="73" t="inlineStr">
        <is>
          <t>Planned</t>
        </is>
      </c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</row>
    <row r="147" ht="14" customHeight="1">
      <c r="A147" s="26" t="n">
        <v>127</v>
      </c>
      <c r="B147" s="27" t="inlineStr">
        <is>
          <t>7.1  Parallel Run Governance Setup</t>
        </is>
      </c>
      <c r="C147" s="28" t="inlineStr">
        <is>
          <t>PwC PMO / Finance</t>
        </is>
      </c>
      <c r="D147" s="29" t="n">
        <v>45890</v>
      </c>
      <c r="E147" s="29" t="n">
        <v>45898</v>
      </c>
      <c r="F147" s="30">
        <f>IF(AND(D147&lt;&gt;"",E147&lt;&gt;""),E147-D147,"")</f>
        <v/>
      </c>
      <c r="G147" s="38" t="inlineStr">
        <is>
          <t>Planned</t>
        </is>
      </c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</row>
    <row r="148" ht="14" customHeight="1">
      <c r="A148" s="33" t="n">
        <v>128</v>
      </c>
      <c r="B148" s="34" t="inlineStr">
        <is>
          <t xml:space="preserve">      Parallel run governance framework — weekly checkpoints, escalation protocol</t>
        </is>
      </c>
      <c r="C148" s="35" t="inlineStr">
        <is>
          <t>PMO</t>
        </is>
      </c>
      <c r="D148" s="36" t="n">
        <v>45890</v>
      </c>
      <c r="E148" s="36" t="n">
        <v>45891</v>
      </c>
      <c r="F148" s="37">
        <f>IF(AND(D148&lt;&gt;"",E148&lt;&gt;""),E148-D148,"")</f>
        <v/>
      </c>
      <c r="G148" s="38" t="inlineStr">
        <is>
          <t>Planned</t>
        </is>
      </c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</row>
    <row r="149" ht="14" customHeight="1">
      <c r="A149" s="26" t="n">
        <v>129</v>
      </c>
      <c r="B149" s="39" t="inlineStr">
        <is>
          <t xml:space="preserve">      Variance tolerance thresholds defined — $ tolerance &amp; % FTE tolerance</t>
        </is>
      </c>
      <c r="C149" s="28" t="inlineStr">
        <is>
          <t>Finance / PwC</t>
        </is>
      </c>
      <c r="D149" s="36" t="n">
        <v>45890</v>
      </c>
      <c r="E149" s="36" t="n">
        <v>45891</v>
      </c>
      <c r="F149" s="30">
        <f>IF(AND(D149&lt;&gt;"",E149&lt;&gt;""),E149-D149,"")</f>
        <v/>
      </c>
      <c r="G149" s="38" t="inlineStr">
        <is>
          <t>Planned</t>
        </is>
      </c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</row>
    <row r="150" ht="14" customHeight="1">
      <c r="A150" s="33" t="n">
        <v>130</v>
      </c>
      <c r="B150" s="34" t="inlineStr">
        <is>
          <t xml:space="preserve">      Parallel run test scope — processes, reports &amp; key metrics to validate</t>
        </is>
      </c>
      <c r="C150" s="35" t="inlineStr">
        <is>
          <t>Finance / PwC</t>
        </is>
      </c>
      <c r="D150" s="36" t="n">
        <v>45890</v>
      </c>
      <c r="E150" s="36" t="n">
        <v>45898</v>
      </c>
      <c r="F150" s="37">
        <f>IF(AND(D150&lt;&gt;"",E150&lt;&gt;""),E150-D150,"")</f>
        <v/>
      </c>
      <c r="G150" s="38" t="inlineStr">
        <is>
          <t>Planned</t>
        </is>
      </c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</row>
    <row r="151" ht="14" customHeight="1">
      <c r="A151" s="26" t="n">
        <v>131</v>
      </c>
      <c r="B151" s="39" t="inlineStr">
        <is>
          <t xml:space="preserve">      Parallel run reporting cadence — weekly variance report template</t>
        </is>
      </c>
      <c r="C151" s="28" t="inlineStr">
        <is>
          <t>PwC PMO</t>
        </is>
      </c>
      <c r="D151" s="36" t="n">
        <v>45890</v>
      </c>
      <c r="E151" s="36" t="n">
        <v>45898</v>
      </c>
      <c r="F151" s="30">
        <f>IF(AND(D151&lt;&gt;"",E151&lt;&gt;""),E151-D151,"")</f>
        <v/>
      </c>
      <c r="G151" s="38" t="inlineStr">
        <is>
          <t>Planned</t>
        </is>
      </c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</row>
    <row r="152" ht="14" customHeight="1">
      <c r="A152" s="33" t="n">
        <v>132</v>
      </c>
      <c r="B152" s="57" t="inlineStr">
        <is>
          <t>7.2  Parallel Run Execution (8-week run)</t>
        </is>
      </c>
      <c r="C152" s="35" t="inlineStr">
        <is>
          <t>Finance / PwC</t>
        </is>
      </c>
      <c r="D152" s="29" t="n">
        <v>45901</v>
      </c>
      <c r="E152" s="29" t="n">
        <v>45947</v>
      </c>
      <c r="F152" s="37">
        <f>IF(AND(D152&lt;&gt;"",E152&lt;&gt;""),E152-D152,"")</f>
        <v/>
      </c>
      <c r="G152" s="38" t="inlineStr">
        <is>
          <t>Planned</t>
        </is>
      </c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</row>
    <row r="153" ht="14" customHeight="1">
      <c r="A153" s="26" t="n">
        <v>133</v>
      </c>
      <c r="B153" s="39" t="inlineStr">
        <is>
          <t xml:space="preserve">      CUST_ParallelRunCheck: EPM vs legacy — position-level comparison (all depts)</t>
        </is>
      </c>
      <c r="C153" s="28" t="inlineStr">
        <is>
          <t>Finance / PwC</t>
        </is>
      </c>
      <c r="D153" s="36" t="n">
        <v>45901</v>
      </c>
      <c r="E153" s="36" t="n">
        <v>45947</v>
      </c>
      <c r="F153" s="30">
        <f>IF(AND(D153&lt;&gt;"",E153&lt;&gt;""),E153-D153,"")</f>
        <v/>
      </c>
      <c r="G153" s="38" t="inlineStr">
        <is>
          <t>Planned</t>
        </is>
      </c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</row>
    <row r="154" ht="14" customHeight="1">
      <c r="A154" s="33" t="n">
        <v>134</v>
      </c>
      <c r="B154" s="34" t="inlineStr">
        <is>
          <t xml:space="preserve">      WFP output comparison — HC totals, compensation, FTE counts by dept</t>
        </is>
      </c>
      <c r="C154" s="35" t="inlineStr">
        <is>
          <t>Finance</t>
        </is>
      </c>
      <c r="D154" s="36" t="n">
        <v>45901</v>
      </c>
      <c r="E154" s="36" t="n">
        <v>45947</v>
      </c>
      <c r="F154" s="37">
        <f>IF(AND(D154&lt;&gt;"",E154&lt;&gt;""),E154-D154,"")</f>
        <v/>
      </c>
      <c r="G154" s="38" t="inlineStr">
        <is>
          <t>Planned</t>
        </is>
      </c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</row>
    <row r="155" ht="14" customHeight="1">
      <c r="A155" s="26" t="n">
        <v>135</v>
      </c>
      <c r="B155" s="39" t="inlineStr">
        <is>
          <t xml:space="preserve">      OPEX G&amp;A comparison — G&amp;A line items, cost centre totals, BOR allocation</t>
        </is>
      </c>
      <c r="C155" s="28" t="inlineStr">
        <is>
          <t>FP&amp;A</t>
        </is>
      </c>
      <c r="D155" s="36" t="n">
        <v>45901</v>
      </c>
      <c r="E155" s="36" t="n">
        <v>45947</v>
      </c>
      <c r="F155" s="30">
        <f>IF(AND(D155&lt;&gt;"",E155&lt;&gt;""),E155-D155,"")</f>
        <v/>
      </c>
      <c r="G155" s="38" t="inlineStr">
        <is>
          <t>Planned</t>
        </is>
      </c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</row>
    <row r="156" ht="14" customHeight="1">
      <c r="A156" s="33" t="n">
        <v>136</v>
      </c>
      <c r="B156" s="34" t="inlineStr">
        <is>
          <t xml:space="preserve">      Reporting parity validation — EPM vs legacy management reports</t>
        </is>
      </c>
      <c r="C156" s="35" t="inlineStr">
        <is>
          <t>Finance / FP&amp;A</t>
        </is>
      </c>
      <c r="D156" s="36" t="n">
        <v>45901</v>
      </c>
      <c r="E156" s="36" t="n">
        <v>45947</v>
      </c>
      <c r="F156" s="37">
        <f>IF(AND(D156&lt;&gt;"",E156&lt;&gt;""),E156-D156,"")</f>
        <v/>
      </c>
      <c r="G156" s="38" t="inlineStr">
        <is>
          <t>Planned</t>
        </is>
      </c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</row>
    <row r="157" ht="14" customHeight="1">
      <c r="A157" s="26" t="n">
        <v>137</v>
      </c>
      <c r="B157" s="39" t="inlineStr">
        <is>
          <t xml:space="preserve">      Weekly variance analysis — root-cause investigation for threshold breaches</t>
        </is>
      </c>
      <c r="C157" s="28" t="inlineStr">
        <is>
          <t>PwC / Finance</t>
        </is>
      </c>
      <c r="D157" s="36" t="n">
        <v>45901</v>
      </c>
      <c r="E157" s="36" t="n">
        <v>45947</v>
      </c>
      <c r="F157" s="30">
        <f>IF(AND(D157&lt;&gt;"",E157&lt;&gt;""),E157-D157,"")</f>
        <v/>
      </c>
      <c r="G157" s="38" t="inlineStr">
        <is>
          <t>Planned</t>
        </is>
      </c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</row>
    <row r="158" ht="14" customHeight="1">
      <c r="A158" s="33" t="n">
        <v>138</v>
      </c>
      <c r="B158" s="34" t="inlineStr">
        <is>
          <t xml:space="preserve">      Configuration fine-tuning — calc rule adjustments, metadata corrections</t>
        </is>
      </c>
      <c r="C158" s="35" t="inlineStr">
        <is>
          <t>PwC</t>
        </is>
      </c>
      <c r="D158" s="36" t="n">
        <v>45901</v>
      </c>
      <c r="E158" s="36" t="n">
        <v>45940</v>
      </c>
      <c r="F158" s="37">
        <f>IF(AND(D158&lt;&gt;"",E158&lt;&gt;""),E158-D158,"")</f>
        <v/>
      </c>
      <c r="G158" s="38" t="inlineStr">
        <is>
          <t>Planned</t>
        </is>
      </c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</row>
    <row r="159" ht="14" customHeight="1">
      <c r="A159" s="26" t="n">
        <v>139</v>
      </c>
      <c r="B159" s="39" t="inlineStr">
        <is>
          <t xml:space="preserve">      Weekly Parallel Run Checkpoint meetings — variance review, decisions log</t>
        </is>
      </c>
      <c r="C159" s="28" t="inlineStr">
        <is>
          <t>PMO / CFO / PwC</t>
        </is>
      </c>
      <c r="D159" s="36" t="n">
        <v>45901</v>
      </c>
      <c r="E159" s="36" t="n">
        <v>45947</v>
      </c>
      <c r="F159" s="30">
        <f>IF(AND(D159&lt;&gt;"",E159&lt;&gt;""),E159-D159,"")</f>
        <v/>
      </c>
      <c r="G159" s="38" t="inlineStr">
        <is>
          <t>Planned</t>
        </is>
      </c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</row>
    <row r="160" ht="14" customHeight="1">
      <c r="A160" s="33" t="n">
        <v>140</v>
      </c>
      <c r="B160" s="57" t="inlineStr">
        <is>
          <t>7.3  Parallel Run Deliverables &amp; Exit</t>
        </is>
      </c>
      <c r="C160" s="35" t="inlineStr">
        <is>
          <t>Finance / PMO</t>
        </is>
      </c>
      <c r="D160" s="29" t="n">
        <v>45943</v>
      </c>
      <c r="E160" s="29" t="n">
        <v>45947</v>
      </c>
      <c r="F160" s="37">
        <f>IF(AND(D160&lt;&gt;"",E160&lt;&gt;""),E160-D160,"")</f>
        <v/>
      </c>
      <c r="G160" s="38" t="inlineStr">
        <is>
          <t>Planned</t>
        </is>
      </c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</row>
    <row r="161" ht="14" customHeight="1">
      <c r="A161" s="26" t="n">
        <v>141</v>
      </c>
      <c r="B161" s="39" t="inlineStr">
        <is>
          <t xml:space="preserve">      Parallel run validation reports — weekly (8 reports)</t>
        </is>
      </c>
      <c r="C161" s="28" t="inlineStr">
        <is>
          <t>PwC / Finance</t>
        </is>
      </c>
      <c r="D161" s="36" t="n">
        <v>45901</v>
      </c>
      <c r="E161" s="36" t="n">
        <v>45947</v>
      </c>
      <c r="F161" s="30">
        <f>IF(AND(D161&lt;&gt;"",E161&lt;&gt;""),E161-D161,"")</f>
        <v/>
      </c>
      <c r="G161" s="38" t="inlineStr">
        <is>
          <t>Planned</t>
        </is>
      </c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</row>
    <row r="162" ht="14" customHeight="1">
      <c r="A162" s="33" t="n">
        <v>142</v>
      </c>
      <c r="B162" s="34" t="inlineStr">
        <is>
          <t xml:space="preserve">      Variance analysis &amp; remediation log — all breaches resolved or accepted</t>
        </is>
      </c>
      <c r="C162" s="35" t="inlineStr">
        <is>
          <t>Finance / PwC</t>
        </is>
      </c>
      <c r="D162" s="36" t="n">
        <v>45943</v>
      </c>
      <c r="E162" s="36" t="n">
        <v>45947</v>
      </c>
      <c r="F162" s="37">
        <f>IF(AND(D162&lt;&gt;"",E162&lt;&gt;""),E162-D162,"")</f>
        <v/>
      </c>
      <c r="G162" s="38" t="inlineStr">
        <is>
          <t>Planned</t>
        </is>
      </c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</row>
    <row r="163" ht="14" customHeight="1">
      <c r="A163" s="26" t="n">
        <v>143</v>
      </c>
      <c r="B163" s="39" t="inlineStr">
        <is>
          <t xml:space="preserve">      Parallel run sign-off memo — CFO confirmation of EPM accuracy</t>
        </is>
      </c>
      <c r="C163" s="28" t="inlineStr">
        <is>
          <t>CFO</t>
        </is>
      </c>
      <c r="D163" s="36" t="n">
        <v>45947</v>
      </c>
      <c r="E163" s="36" t="n">
        <v>45947</v>
      </c>
      <c r="F163" s="30">
        <f>IF(AND(D163&lt;&gt;"",E163&lt;&gt;""),E163-D163,"")</f>
        <v/>
      </c>
      <c r="G163" s="38" t="inlineStr">
        <is>
          <t>Planned</t>
        </is>
      </c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</row>
    <row r="164" ht="14" customHeight="1">
      <c r="A164" s="33" t="n">
        <v>144</v>
      </c>
      <c r="B164" s="34" t="inlineStr">
        <is>
          <t xml:space="preserve">      Final readiness confirmation for legacy system decommissioning</t>
        </is>
      </c>
      <c r="C164" s="35" t="inlineStr">
        <is>
          <t>CIO / CFO</t>
        </is>
      </c>
      <c r="D164" s="36" t="n">
        <v>45947</v>
      </c>
      <c r="E164" s="36" t="n">
        <v>45947</v>
      </c>
      <c r="F164" s="37">
        <f>IF(AND(D164&lt;&gt;"",E164&lt;&gt;""),E164-D164,"")</f>
        <v/>
      </c>
      <c r="G164" s="38" t="inlineStr">
        <is>
          <t>Planned</t>
        </is>
      </c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</row>
    <row r="165" ht="16" customHeight="1">
      <c r="A165" s="47" t="inlineStr">
        <is>
          <t>▲</t>
        </is>
      </c>
      <c r="B165" s="48" t="inlineStr">
        <is>
          <t>▲ PARALLEL RUN EXIT — Legacy decommission authorized (Oct 21)</t>
        </is>
      </c>
      <c r="C165" s="49" t="inlineStr">
        <is>
          <t>CFO / CIO / Sponsor</t>
        </is>
      </c>
      <c r="D165" s="50" t="n">
        <v>45947</v>
      </c>
      <c r="E165" s="50" t="n">
        <v>45947</v>
      </c>
      <c r="F165" s="51" t="n"/>
      <c r="G165" s="52" t="inlineStr">
        <is>
          <t>Planned</t>
        </is>
      </c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</row>
    <row r="166" ht="17" customHeight="1">
      <c r="A166" s="40" t="inlineStr"/>
      <c r="B166" s="74" t="inlineStr">
        <is>
          <t>PHASE 8 — EVOLVE / HYPERCARE &amp; STEADY-STATE  (Post Oct 21)</t>
        </is>
      </c>
      <c r="C166" s="42" t="inlineStr">
        <is>
          <t>PwC / IT / Finance</t>
        </is>
      </c>
      <c r="D166" s="75" t="n">
        <v>45950</v>
      </c>
      <c r="E166" s="75" t="n">
        <v>45968</v>
      </c>
      <c r="F166" s="44">
        <f>(E166-D166)</f>
        <v/>
      </c>
      <c r="G166" s="76" t="inlineStr">
        <is>
          <t>Planned</t>
        </is>
      </c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</row>
    <row r="167" ht="14" customHeight="1">
      <c r="A167" s="26" t="n">
        <v>145</v>
      </c>
      <c r="B167" s="27" t="inlineStr">
        <is>
          <t>8.1  Post-Go-Live &amp; Post-Parallel-Run Review</t>
        </is>
      </c>
      <c r="C167" s="28" t="inlineStr">
        <is>
          <t>PwC PMO</t>
        </is>
      </c>
      <c r="D167" s="29" t="n">
        <v>45950</v>
      </c>
      <c r="E167" s="29" t="n">
        <v>45954</v>
      </c>
      <c r="F167" s="30">
        <f>IF(AND(D167&lt;&gt;"",E167&lt;&gt;""),E167-D167,"")</f>
        <v/>
      </c>
      <c r="G167" s="38" t="inlineStr">
        <is>
          <t>Planned</t>
        </is>
      </c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</row>
    <row r="168" ht="14" customHeight="1">
      <c r="A168" s="33" t="n">
        <v>146</v>
      </c>
      <c r="B168" s="34" t="inlineStr">
        <is>
          <t xml:space="preserve">      Post-implementation review (PIR) — lessons learned, benefit realization</t>
        </is>
      </c>
      <c r="C168" s="35" t="inlineStr">
        <is>
          <t>PMO / Sponsor</t>
        </is>
      </c>
      <c r="D168" s="36" t="n">
        <v>45950</v>
      </c>
      <c r="E168" s="36" t="n">
        <v>45954</v>
      </c>
      <c r="F168" s="37">
        <f>IF(AND(D168&lt;&gt;"",E168&lt;&gt;""),E168-D168,"")</f>
        <v/>
      </c>
      <c r="G168" s="38" t="inlineStr">
        <is>
          <t>Planned</t>
        </is>
      </c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</row>
    <row r="169" ht="14" customHeight="1">
      <c r="A169" s="26" t="n">
        <v>147</v>
      </c>
      <c r="B169" s="39" t="inlineStr">
        <is>
          <t xml:space="preserve">      Optimization backlog — enhancements, new features, user requests</t>
        </is>
      </c>
      <c r="C169" s="28" t="inlineStr">
        <is>
          <t>Finance / IT</t>
        </is>
      </c>
      <c r="D169" s="36" t="n">
        <v>45950</v>
      </c>
      <c r="E169" s="36" t="n">
        <v>45954</v>
      </c>
      <c r="F169" s="30">
        <f>IF(AND(D169&lt;&gt;"",E169&lt;&gt;""),E169-D169,"")</f>
        <v/>
      </c>
      <c r="G169" s="38" t="inlineStr">
        <is>
          <t>Planned</t>
        </is>
      </c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</row>
    <row r="170" ht="14" customHeight="1">
      <c r="A170" s="33" t="n">
        <v>148</v>
      </c>
      <c r="B170" s="57" t="inlineStr">
        <is>
          <t>8.2  Hypercare Support Model</t>
        </is>
      </c>
      <c r="C170" s="35" t="inlineStr">
        <is>
          <t>PwC / IT</t>
        </is>
      </c>
      <c r="D170" s="29" t="n">
        <v>45957</v>
      </c>
      <c r="E170" s="29" t="n">
        <v>45968</v>
      </c>
      <c r="F170" s="37">
        <f>IF(AND(D170&lt;&gt;"",E170&lt;&gt;""),E170-D170,"")</f>
        <v/>
      </c>
      <c r="G170" s="38" t="inlineStr">
        <is>
          <t>Planned</t>
        </is>
      </c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</row>
    <row r="171" ht="14" customHeight="1">
      <c r="A171" s="26" t="n">
        <v>149</v>
      </c>
      <c r="B171" s="39" t="inlineStr">
        <is>
          <t xml:space="preserve">      Break-fix SLA: P1 4hr, P2 1-day, P3 5-days — managed support</t>
        </is>
      </c>
      <c r="C171" s="28" t="inlineStr">
        <is>
          <t>PwC</t>
        </is>
      </c>
      <c r="D171" s="36" t="n">
        <v>45957</v>
      </c>
      <c r="E171" s="36" t="n">
        <v>45968</v>
      </c>
      <c r="F171" s="30">
        <f>IF(AND(D171&lt;&gt;"",E171&lt;&gt;""),E171-D171,"")</f>
        <v/>
      </c>
      <c r="G171" s="38" t="inlineStr">
        <is>
          <t>Planned</t>
        </is>
      </c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</row>
    <row r="172" ht="14" customHeight="1">
      <c r="A172" s="33" t="n">
        <v>150</v>
      </c>
      <c r="B172" s="34" t="inlineStr">
        <is>
          <t xml:space="preserve">      Knowledge transfer — IT run-books, admin guides, support playbooks</t>
        </is>
      </c>
      <c r="C172" s="35" t="inlineStr">
        <is>
          <t>PwC → IT</t>
        </is>
      </c>
      <c r="D172" s="36" t="n">
        <v>45957</v>
      </c>
      <c r="E172" s="36" t="n">
        <v>45968</v>
      </c>
      <c r="F172" s="37">
        <f>IF(AND(D172&lt;&gt;"",E172&lt;&gt;""),E172-D172,"")</f>
        <v/>
      </c>
      <c r="G172" s="38" t="inlineStr">
        <is>
          <t>Planned</t>
        </is>
      </c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</row>
    <row r="173" ht="14" customHeight="1">
      <c r="A173" s="26" t="n">
        <v>151</v>
      </c>
      <c r="B173" s="39" t="inlineStr">
        <is>
          <t xml:space="preserve">      Transition to steady-state AMS (Application Managed Services)</t>
        </is>
      </c>
      <c r="C173" s="28" t="inlineStr">
        <is>
          <t>IT / PwC</t>
        </is>
      </c>
      <c r="D173" s="36" t="n">
        <v>45964</v>
      </c>
      <c r="E173" s="36" t="n">
        <v>45968</v>
      </c>
      <c r="F173" s="30">
        <f>IF(AND(D173&lt;&gt;"",E173&lt;&gt;""),E173-D173,"")</f>
        <v/>
      </c>
      <c r="G173" s="38" t="inlineStr">
        <is>
          <t>Planned</t>
        </is>
      </c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</row>
    <row r="174" ht="14" customHeight="1">
      <c r="A174" s="33" t="n">
        <v>152</v>
      </c>
      <c r="B174" s="57" t="inlineStr">
        <is>
          <t>8.3  Release 1b Scoping — Next Oracle EPM Modules</t>
        </is>
      </c>
      <c r="C174" s="35" t="inlineStr">
        <is>
          <t>PwC / CIO / Finance</t>
        </is>
      </c>
      <c r="D174" s="29" t="n">
        <v>45957</v>
      </c>
      <c r="E174" s="29" t="n">
        <v>45968</v>
      </c>
      <c r="F174" s="37">
        <f>IF(AND(D174&lt;&gt;"",E174&lt;&gt;""),E174-D174,"")</f>
        <v/>
      </c>
      <c r="G174" s="38" t="inlineStr">
        <is>
          <t>Planned</t>
        </is>
      </c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</row>
    <row r="175" ht="14" customHeight="1">
      <c r="A175" s="26" t="n">
        <v>153</v>
      </c>
      <c r="B175" s="39" t="inlineStr">
        <is>
          <t xml:space="preserve">      FCCS (Financial Consolidation) — scoping &amp; business case</t>
        </is>
      </c>
      <c r="C175" s="28" t="inlineStr">
        <is>
          <t>PwC / Finance</t>
        </is>
      </c>
      <c r="D175" s="36" t="n">
        <v>45957</v>
      </c>
      <c r="E175" s="36" t="n">
        <v>45968</v>
      </c>
      <c r="F175" s="30">
        <f>IF(AND(D175&lt;&gt;"",E175&lt;&gt;""),E175-D175,"")</f>
        <v/>
      </c>
      <c r="G175" s="38" t="inlineStr">
        <is>
          <t>Planned</t>
        </is>
      </c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</row>
    <row r="176" ht="14" customHeight="1">
      <c r="A176" s="33" t="n">
        <v>154</v>
      </c>
      <c r="B176" s="34" t="inlineStr">
        <is>
          <t xml:space="preserve">      Narrative Reporting Phase 2 — board package automation scoping</t>
        </is>
      </c>
      <c r="C176" s="35" t="inlineStr">
        <is>
          <t>PwC / Finance</t>
        </is>
      </c>
      <c r="D176" s="36" t="n">
        <v>45957</v>
      </c>
      <c r="E176" s="36" t="n">
        <v>45968</v>
      </c>
      <c r="F176" s="37">
        <f>IF(AND(D176&lt;&gt;"",E176&lt;&gt;""),E176-D176,"")</f>
        <v/>
      </c>
      <c r="G176" s="38" t="inlineStr">
        <is>
          <t>Planned</t>
        </is>
      </c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</row>
    <row r="177" ht="14" customHeight="1">
      <c r="A177" s="26" t="n">
        <v>155</v>
      </c>
      <c r="B177" s="39" t="inlineStr">
        <is>
          <t xml:space="preserve">      PCM / Profitability Cloud — scoping assessment</t>
        </is>
      </c>
      <c r="C177" s="28" t="inlineStr">
        <is>
          <t>PwC / Finance</t>
        </is>
      </c>
      <c r="D177" s="36" t="n">
        <v>45957</v>
      </c>
      <c r="E177" s="36" t="n">
        <v>45968</v>
      </c>
      <c r="F177" s="30">
        <f>IF(AND(D177&lt;&gt;"",E177&lt;&gt;""),E177-D177,"")</f>
        <v/>
      </c>
      <c r="G177" s="38" t="inlineStr">
        <is>
          <t>Planned</t>
        </is>
      </c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</row>
    <row r="179" ht="18" customHeight="1">
      <c r="A179" s="77" t="inlineStr">
        <is>
          <t xml:space="preserve">  ✏ Blue cells = editable Start/End dates (Gantt bars update automatically)  |  ▲ = Milestone Gate  |  ▼ = Today  |  Duration column auto-calculates</t>
        </is>
      </c>
      <c r="H179" s="78" t="inlineStr">
        <is>
          <t>Design &amp; Align</t>
        </is>
      </c>
      <c r="J179" s="79" t="inlineStr">
        <is>
          <t>POC</t>
        </is>
      </c>
      <c r="L179" s="80" t="inlineStr">
        <is>
          <t>Build Sprints</t>
        </is>
      </c>
      <c r="N179" s="81" t="inlineStr">
        <is>
          <t>SIT</t>
        </is>
      </c>
      <c r="P179" s="82" t="inlineStr">
        <is>
          <t>UAT</t>
        </is>
      </c>
      <c r="R179" s="83" t="inlineStr">
        <is>
          <t>Go-Live</t>
        </is>
      </c>
      <c r="T179" s="84" t="inlineStr">
        <is>
          <t>Parallel Run</t>
        </is>
      </c>
      <c r="V179" s="85" t="inlineStr">
        <is>
          <t>Evolve/Hypercare</t>
        </is>
      </c>
      <c r="X179" s="86" t="inlineStr">
        <is>
          <t>FY Planning</t>
        </is>
      </c>
    </row>
  </sheetData>
  <mergeCells count="29">
    <mergeCell ref="L179:M179"/>
    <mergeCell ref="R179:S179"/>
    <mergeCell ref="Y5:AA5"/>
    <mergeCell ref="T179:U179"/>
    <mergeCell ref="J5:K5"/>
    <mergeCell ref="L5:N5"/>
    <mergeCell ref="A4:G4"/>
    <mergeCell ref="AB5:AC5"/>
    <mergeCell ref="W5:X5"/>
    <mergeCell ref="X179:Y179"/>
    <mergeCell ref="H4:AD4"/>
    <mergeCell ref="O5:P5"/>
    <mergeCell ref="Q5:R5"/>
    <mergeCell ref="A2:AD2"/>
    <mergeCell ref="A1:AD1"/>
    <mergeCell ref="J179:K179"/>
    <mergeCell ref="N179:O179"/>
    <mergeCell ref="A8:AD8"/>
    <mergeCell ref="P179:Q179"/>
    <mergeCell ref="A6:G6"/>
    <mergeCell ref="A13:AD13"/>
    <mergeCell ref="A3:G3"/>
    <mergeCell ref="S5:T5"/>
    <mergeCell ref="U5:V5"/>
    <mergeCell ref="V179:W179"/>
    <mergeCell ref="H5:I5"/>
    <mergeCell ref="A179:G179"/>
    <mergeCell ref="H179:I179"/>
    <mergeCell ref="A5:G5"/>
  </mergeCells>
  <conditionalFormatting sqref="H9:AD9">
    <cfRule type="expression" priority="1" dxfId="0">
      <formula>=AND($D9&lt;&gt;"",$E9&lt;&gt;"",H$6&gt;=$D9,H$6&lt;=$E9)</formula>
    </cfRule>
  </conditionalFormatting>
  <conditionalFormatting sqref="H10:AD10">
    <cfRule type="expression" priority="2" dxfId="0">
      <formula>=AND($D10&lt;&gt;"",$E10&lt;&gt;"",H$6&gt;=$D10,H$6&lt;=$E10)</formula>
    </cfRule>
  </conditionalFormatting>
  <conditionalFormatting sqref="H11:AD11">
    <cfRule type="expression" priority="3" dxfId="0">
      <formula>=AND($D11&lt;&gt;"",$E11&lt;&gt;"",H$6&gt;=$D11,H$6&lt;=$E11)</formula>
    </cfRule>
  </conditionalFormatting>
  <conditionalFormatting sqref="H12:AD12">
    <cfRule type="expression" priority="4" dxfId="0">
      <formula>=AND($D12&lt;&gt;"",$E12&lt;&gt;"",H$6&gt;=$D12,H$6&lt;=$E12)</formula>
    </cfRule>
  </conditionalFormatting>
  <conditionalFormatting sqref="H14:AD14">
    <cfRule type="expression" priority="5" dxfId="1">
      <formula>=AND($D14&lt;&gt;"",$E14&lt;&gt;"",H$6&gt;=$D14,H$6&lt;=$E14)</formula>
    </cfRule>
  </conditionalFormatting>
  <conditionalFormatting sqref="H15:AD15">
    <cfRule type="expression" priority="6" dxfId="1">
      <formula>=AND($D15&lt;&gt;"",$E15&lt;&gt;"",H$6&gt;=$D15,H$6&lt;=$E15)</formula>
    </cfRule>
  </conditionalFormatting>
  <conditionalFormatting sqref="H16:AD16">
    <cfRule type="expression" priority="7" dxfId="1">
      <formula>=AND($D16&lt;&gt;"",$E16&lt;&gt;"",H$6&gt;=$D16,H$6&lt;=$E16)</formula>
    </cfRule>
  </conditionalFormatting>
  <conditionalFormatting sqref="H17:AD17">
    <cfRule type="expression" priority="8" dxfId="1">
      <formula>=AND($D17&lt;&gt;"",$E17&lt;&gt;"",H$6&gt;=$D17,H$6&lt;=$E17)</formula>
    </cfRule>
  </conditionalFormatting>
  <conditionalFormatting sqref="H18:AD18">
    <cfRule type="expression" priority="9" dxfId="1">
      <formula>=AND($D18&lt;&gt;"",$E18&lt;&gt;"",H$6&gt;=$D18,H$6&lt;=$E18)</formula>
    </cfRule>
  </conditionalFormatting>
  <conditionalFormatting sqref="H19:AD19">
    <cfRule type="expression" priority="10" dxfId="1">
      <formula>=AND($D19&lt;&gt;"",$E19&lt;&gt;"",H$6&gt;=$D19,H$6&lt;=$E19)</formula>
    </cfRule>
  </conditionalFormatting>
  <conditionalFormatting sqref="H20:AD20">
    <cfRule type="expression" priority="11" dxfId="1">
      <formula>=AND($D20&lt;&gt;"",$E20&lt;&gt;"",H$6&gt;=$D20,H$6&lt;=$E20)</formula>
    </cfRule>
  </conditionalFormatting>
  <conditionalFormatting sqref="H21:AD21">
    <cfRule type="expression" priority="12" dxfId="1">
      <formula>=AND($D21&lt;&gt;"",$E21&lt;&gt;"",H$6&gt;=$D21,H$6&lt;=$E21)</formula>
    </cfRule>
  </conditionalFormatting>
  <conditionalFormatting sqref="H22:AD22">
    <cfRule type="expression" priority="13" dxfId="1">
      <formula>=AND($D22&lt;&gt;"",$E22&lt;&gt;"",H$6&gt;=$D22,H$6&lt;=$E22)</formula>
    </cfRule>
  </conditionalFormatting>
  <conditionalFormatting sqref="H23:AD23">
    <cfRule type="expression" priority="14" dxfId="1">
      <formula>=AND($D23&lt;&gt;"",$E23&lt;&gt;"",H$6&gt;=$D23,H$6&lt;=$E23)</formula>
    </cfRule>
  </conditionalFormatting>
  <conditionalFormatting sqref="H24:AD24">
    <cfRule type="expression" priority="15" dxfId="1">
      <formula>=AND($D24&lt;&gt;"",$E24&lt;&gt;"",H$6&gt;=$D24,H$6&lt;=$E24)</formula>
    </cfRule>
  </conditionalFormatting>
  <conditionalFormatting sqref="H25:AD25">
    <cfRule type="expression" priority="16" dxfId="1">
      <formula>=AND($D25&lt;&gt;"",$E25&lt;&gt;"",H$6&gt;=$D25,H$6&lt;=$E25)</formula>
    </cfRule>
  </conditionalFormatting>
  <conditionalFormatting sqref="H26:AD26">
    <cfRule type="expression" priority="17" dxfId="1">
      <formula>=AND($D26&lt;&gt;"",$E26&lt;&gt;"",H$6&gt;=$D26,H$6&lt;=$E26)</formula>
    </cfRule>
  </conditionalFormatting>
  <conditionalFormatting sqref="H27:AD27">
    <cfRule type="expression" priority="18" dxfId="1">
      <formula>=AND($D27&lt;&gt;"",$E27&lt;&gt;"",H$6&gt;=$D27,H$6&lt;=$E27)</formula>
    </cfRule>
  </conditionalFormatting>
  <conditionalFormatting sqref="H28:AD28">
    <cfRule type="expression" priority="19" dxfId="1">
      <formula>=AND($D28&lt;&gt;"",$E28&lt;&gt;"",H$6&gt;=$D28,H$6&lt;=$E28)</formula>
    </cfRule>
  </conditionalFormatting>
  <conditionalFormatting sqref="H29:AD29">
    <cfRule type="expression" priority="20" dxfId="1">
      <formula>=AND($D29&lt;&gt;"",$E29&lt;&gt;"",H$6&gt;=$D29,H$6&lt;=$E29)</formula>
    </cfRule>
  </conditionalFormatting>
  <conditionalFormatting sqref="H30:AD30">
    <cfRule type="expression" priority="21" dxfId="1">
      <formula>=AND($D30&lt;&gt;"",$E30&lt;&gt;"",H$6&gt;=$D30,H$6&lt;=$E30)</formula>
    </cfRule>
  </conditionalFormatting>
  <conditionalFormatting sqref="H31:AD31">
    <cfRule type="expression" priority="22" dxfId="1">
      <formula>=AND($D31&lt;&gt;"",$E31&lt;&gt;"",H$6&gt;=$D31,H$6&lt;=$E31)</formula>
    </cfRule>
  </conditionalFormatting>
  <conditionalFormatting sqref="H32:AD32">
    <cfRule type="expression" priority="23" dxfId="1">
      <formula>=AND($D32&lt;&gt;"",$E32&lt;&gt;"",H$6&gt;=$D32,H$6&lt;=$E32)</formula>
    </cfRule>
  </conditionalFormatting>
  <conditionalFormatting sqref="H33:AD33">
    <cfRule type="expression" priority="24" dxfId="1">
      <formula>=AND($D33&lt;&gt;"",$E33&lt;&gt;"",H$6&gt;=$D33,H$6&lt;=$E33)</formula>
    </cfRule>
  </conditionalFormatting>
  <conditionalFormatting sqref="H34:AD34">
    <cfRule type="expression" priority="25" dxfId="1">
      <formula>=AND($D34&lt;&gt;"",$E34&lt;&gt;"",H$6&gt;=$D34,H$6&lt;=$E34)</formula>
    </cfRule>
  </conditionalFormatting>
  <conditionalFormatting sqref="H35:AD35">
    <cfRule type="expression" priority="26" dxfId="1">
      <formula>=AND($D35&lt;&gt;"",$E35&lt;&gt;"",H$6&gt;=$D35,H$6&lt;=$E35)</formula>
    </cfRule>
  </conditionalFormatting>
  <conditionalFormatting sqref="H36:AD36">
    <cfRule type="expression" priority="27" dxfId="1">
      <formula>=AND($D36&lt;&gt;"",$E36&lt;&gt;"",H$6&gt;=$D36,H$6&lt;=$E36)</formula>
    </cfRule>
  </conditionalFormatting>
  <conditionalFormatting sqref="H37:AD37">
    <cfRule type="expression" priority="28" dxfId="1">
      <formula>=AND($D37&lt;&gt;"",$E37&lt;&gt;"",H$6&gt;=$D37,H$6&lt;=$E37)</formula>
    </cfRule>
  </conditionalFormatting>
  <conditionalFormatting sqref="H38:AD38">
    <cfRule type="expression" priority="29" dxfId="1">
      <formula>=AND($D38&lt;&gt;"",$E38&lt;&gt;"",H$6&gt;=$D38,H$6&lt;=$E38)</formula>
    </cfRule>
  </conditionalFormatting>
  <conditionalFormatting sqref="H39:AD39">
    <cfRule type="expression" priority="30" dxfId="1">
      <formula>=AND($D39&lt;&gt;"",$E39&lt;&gt;"",H$6&gt;=$D39,H$6&lt;=$E39)</formula>
    </cfRule>
  </conditionalFormatting>
  <conditionalFormatting sqref="H40:AD40">
    <cfRule type="expression" priority="31" dxfId="2">
      <formula>=AND($D40&lt;&gt;"",$E40&lt;&gt;"",H$6&gt;=$D40,H$6&lt;=$E40)</formula>
    </cfRule>
  </conditionalFormatting>
  <conditionalFormatting sqref="H41:AD41">
    <cfRule type="expression" priority="32" dxfId="3">
      <formula>=AND($D41&lt;&gt;"",$E41&lt;&gt;"",H$6&gt;=$D41,H$6&lt;=$E41)</formula>
    </cfRule>
  </conditionalFormatting>
  <conditionalFormatting sqref="H42:AD42">
    <cfRule type="expression" priority="33" dxfId="3">
      <formula>=AND($D42&lt;&gt;"",$E42&lt;&gt;"",H$6&gt;=$D42,H$6&lt;=$E42)</formula>
    </cfRule>
  </conditionalFormatting>
  <conditionalFormatting sqref="H43:AD43">
    <cfRule type="expression" priority="34" dxfId="3">
      <formula>=AND($D43&lt;&gt;"",$E43&lt;&gt;"",H$6&gt;=$D43,H$6&lt;=$E43)</formula>
    </cfRule>
  </conditionalFormatting>
  <conditionalFormatting sqref="H44:AD44">
    <cfRule type="expression" priority="35" dxfId="3">
      <formula>=AND($D44&lt;&gt;"",$E44&lt;&gt;"",H$6&gt;=$D44,H$6&lt;=$E44)</formula>
    </cfRule>
  </conditionalFormatting>
  <conditionalFormatting sqref="H45:AD45">
    <cfRule type="expression" priority="36" dxfId="3">
      <formula>=AND($D45&lt;&gt;"",$E45&lt;&gt;"",H$6&gt;=$D45,H$6&lt;=$E45)</formula>
    </cfRule>
  </conditionalFormatting>
  <conditionalFormatting sqref="H46:AD46">
    <cfRule type="expression" priority="37" dxfId="3">
      <formula>=AND($D46&lt;&gt;"",$E46&lt;&gt;"",H$6&gt;=$D46,H$6&lt;=$E46)</formula>
    </cfRule>
  </conditionalFormatting>
  <conditionalFormatting sqref="H47:AD47">
    <cfRule type="expression" priority="38" dxfId="3">
      <formula>=AND($D47&lt;&gt;"",$E47&lt;&gt;"",H$6&gt;=$D47,H$6&lt;=$E47)</formula>
    </cfRule>
  </conditionalFormatting>
  <conditionalFormatting sqref="H48:AD48">
    <cfRule type="expression" priority="39" dxfId="3">
      <formula>=AND($D48&lt;&gt;"",$E48&lt;&gt;"",H$6&gt;=$D48,H$6&lt;=$E48)</formula>
    </cfRule>
  </conditionalFormatting>
  <conditionalFormatting sqref="H49:AD49">
    <cfRule type="expression" priority="40" dxfId="3">
      <formula>=AND($D49&lt;&gt;"",$E49&lt;&gt;"",H$6&gt;=$D49,H$6&lt;=$E49)</formula>
    </cfRule>
  </conditionalFormatting>
  <conditionalFormatting sqref="H50:AD50">
    <cfRule type="expression" priority="41" dxfId="3">
      <formula>=AND($D50&lt;&gt;"",$E50&lt;&gt;"",H$6&gt;=$D50,H$6&lt;=$E50)</formula>
    </cfRule>
  </conditionalFormatting>
  <conditionalFormatting sqref="H51:AD51">
    <cfRule type="expression" priority="42" dxfId="3">
      <formula>=AND($D51&lt;&gt;"",$E51&lt;&gt;"",H$6&gt;=$D51,H$6&lt;=$E51)</formula>
    </cfRule>
  </conditionalFormatting>
  <conditionalFormatting sqref="H52:AD52">
    <cfRule type="expression" priority="43" dxfId="3">
      <formula>=AND($D52&lt;&gt;"",$E52&lt;&gt;"",H$6&gt;=$D52,H$6&lt;=$E52)</formula>
    </cfRule>
  </conditionalFormatting>
  <conditionalFormatting sqref="H53:AD53">
    <cfRule type="expression" priority="44" dxfId="3">
      <formula>=AND($D53&lt;&gt;"",$E53&lt;&gt;"",H$6&gt;=$D53,H$6&lt;=$E53)</formula>
    </cfRule>
  </conditionalFormatting>
  <conditionalFormatting sqref="H54:AD54">
    <cfRule type="expression" priority="45" dxfId="3">
      <formula>=AND($D54&lt;&gt;"",$E54&lt;&gt;"",H$6&gt;=$D54,H$6&lt;=$E54)</formula>
    </cfRule>
  </conditionalFormatting>
  <conditionalFormatting sqref="H55:AD55">
    <cfRule type="expression" priority="46" dxfId="3">
      <formula>=AND($D55&lt;&gt;"",$E55&lt;&gt;"",H$6&gt;=$D55,H$6&lt;=$E55)</formula>
    </cfRule>
  </conditionalFormatting>
  <conditionalFormatting sqref="H56:AD56">
    <cfRule type="expression" priority="47" dxfId="3">
      <formula>=AND($D56&lt;&gt;"",$E56&lt;&gt;"",H$6&gt;=$D56,H$6&lt;=$E56)</formula>
    </cfRule>
  </conditionalFormatting>
  <conditionalFormatting sqref="H57:AD57">
    <cfRule type="expression" priority="48" dxfId="4">
      <formula>=AND($D57&lt;&gt;"",$E57&lt;&gt;"",H$6&gt;=$D57,H$6&lt;=$E57)</formula>
    </cfRule>
  </conditionalFormatting>
  <conditionalFormatting sqref="H58:AD58">
    <cfRule type="expression" priority="49" dxfId="4">
      <formula>=AND($D58&lt;&gt;"",$E58&lt;&gt;"",H$6&gt;=$D58,H$6&lt;=$E58)</formula>
    </cfRule>
  </conditionalFormatting>
  <conditionalFormatting sqref="H59:AD59">
    <cfRule type="expression" priority="50" dxfId="4">
      <formula>=AND($D59&lt;&gt;"",$E59&lt;&gt;"",H$6&gt;=$D59,H$6&lt;=$E59)</formula>
    </cfRule>
  </conditionalFormatting>
  <conditionalFormatting sqref="H60:AD60">
    <cfRule type="expression" priority="51" dxfId="4">
      <formula>=AND($D60&lt;&gt;"",$E60&lt;&gt;"",H$6&gt;=$D60,H$6&lt;=$E60)</formula>
    </cfRule>
  </conditionalFormatting>
  <conditionalFormatting sqref="H61:AD61">
    <cfRule type="expression" priority="52" dxfId="4">
      <formula>=AND($D61&lt;&gt;"",$E61&lt;&gt;"",H$6&gt;=$D61,H$6&lt;=$E61)</formula>
    </cfRule>
  </conditionalFormatting>
  <conditionalFormatting sqref="H62:AD62">
    <cfRule type="expression" priority="53" dxfId="4">
      <formula>=AND($D62&lt;&gt;"",$E62&lt;&gt;"",H$6&gt;=$D62,H$6&lt;=$E62)</formula>
    </cfRule>
  </conditionalFormatting>
  <conditionalFormatting sqref="H63:AD63">
    <cfRule type="expression" priority="54" dxfId="4">
      <formula>=AND($D63&lt;&gt;"",$E63&lt;&gt;"",H$6&gt;=$D63,H$6&lt;=$E63)</formula>
    </cfRule>
  </conditionalFormatting>
  <conditionalFormatting sqref="H64:AD64">
    <cfRule type="expression" priority="55" dxfId="4">
      <formula>=AND($D64&lt;&gt;"",$E64&lt;&gt;"",H$6&gt;=$D64,H$6&lt;=$E64)</formula>
    </cfRule>
  </conditionalFormatting>
  <conditionalFormatting sqref="H65:AD65">
    <cfRule type="expression" priority="56" dxfId="4">
      <formula>=AND($D65&lt;&gt;"",$E65&lt;&gt;"",H$6&gt;=$D65,H$6&lt;=$E65)</formula>
    </cfRule>
  </conditionalFormatting>
  <conditionalFormatting sqref="H66:AD66">
    <cfRule type="expression" priority="57" dxfId="4">
      <formula>=AND($D66&lt;&gt;"",$E66&lt;&gt;"",H$6&gt;=$D66,H$6&lt;=$E66)</formula>
    </cfRule>
  </conditionalFormatting>
  <conditionalFormatting sqref="H67:AD67">
    <cfRule type="expression" priority="58" dxfId="4">
      <formula>=AND($D67&lt;&gt;"",$E67&lt;&gt;"",H$6&gt;=$D67,H$6&lt;=$E67)</formula>
    </cfRule>
  </conditionalFormatting>
  <conditionalFormatting sqref="H68:AD68">
    <cfRule type="expression" priority="59" dxfId="4">
      <formula>=AND($D68&lt;&gt;"",$E68&lt;&gt;"",H$6&gt;=$D68,H$6&lt;=$E68)</formula>
    </cfRule>
  </conditionalFormatting>
  <conditionalFormatting sqref="H69:AD69">
    <cfRule type="expression" priority="60" dxfId="4">
      <formula>=AND($D69&lt;&gt;"",$E69&lt;&gt;"",H$6&gt;=$D69,H$6&lt;=$E69)</formula>
    </cfRule>
  </conditionalFormatting>
  <conditionalFormatting sqref="H70:AD70">
    <cfRule type="expression" priority="61" dxfId="4">
      <formula>=AND($D70&lt;&gt;"",$E70&lt;&gt;"",H$6&gt;=$D70,H$6&lt;=$E70)</formula>
    </cfRule>
  </conditionalFormatting>
  <conditionalFormatting sqref="H71:AD71">
    <cfRule type="expression" priority="62" dxfId="4">
      <formula>=AND($D71&lt;&gt;"",$E71&lt;&gt;"",H$6&gt;=$D71,H$6&lt;=$E71)</formula>
    </cfRule>
  </conditionalFormatting>
  <conditionalFormatting sqref="H72:AD72">
    <cfRule type="expression" priority="63" dxfId="4">
      <formula>=AND($D72&lt;&gt;"",$E72&lt;&gt;"",H$6&gt;=$D72,H$6&lt;=$E72)</formula>
    </cfRule>
  </conditionalFormatting>
  <conditionalFormatting sqref="H73:AD73">
    <cfRule type="expression" priority="64" dxfId="4">
      <formula>=AND($D73&lt;&gt;"",$E73&lt;&gt;"",H$6&gt;=$D73,H$6&lt;=$E73)</formula>
    </cfRule>
  </conditionalFormatting>
  <conditionalFormatting sqref="H74:AD74">
    <cfRule type="expression" priority="65" dxfId="4">
      <formula>=AND($D74&lt;&gt;"",$E74&lt;&gt;"",H$6&gt;=$D74,H$6&lt;=$E74)</formula>
    </cfRule>
  </conditionalFormatting>
  <conditionalFormatting sqref="H75:AD75">
    <cfRule type="expression" priority="66" dxfId="4">
      <formula>=AND($D75&lt;&gt;"",$E75&lt;&gt;"",H$6&gt;=$D75,H$6&lt;=$E75)</formula>
    </cfRule>
  </conditionalFormatting>
  <conditionalFormatting sqref="H76:AD76">
    <cfRule type="expression" priority="67" dxfId="4">
      <formula>=AND($D76&lt;&gt;"",$E76&lt;&gt;"",H$6&gt;=$D76,H$6&lt;=$E76)</formula>
    </cfRule>
  </conditionalFormatting>
  <conditionalFormatting sqref="H77:AD77">
    <cfRule type="expression" priority="68" dxfId="4">
      <formula>=AND($D77&lt;&gt;"",$E77&lt;&gt;"",H$6&gt;=$D77,H$6&lt;=$E77)</formula>
    </cfRule>
  </conditionalFormatting>
  <conditionalFormatting sqref="H78:AD78">
    <cfRule type="expression" priority="69" dxfId="4">
      <formula>=AND($D78&lt;&gt;"",$E78&lt;&gt;"",H$6&gt;=$D78,H$6&lt;=$E78)</formula>
    </cfRule>
  </conditionalFormatting>
  <conditionalFormatting sqref="H79:AD79">
    <cfRule type="expression" priority="70" dxfId="4">
      <formula>=AND($D79&lt;&gt;"",$E79&lt;&gt;"",H$6&gt;=$D79,H$6&lt;=$E79)</formula>
    </cfRule>
  </conditionalFormatting>
  <conditionalFormatting sqref="H80:AD80">
    <cfRule type="expression" priority="71" dxfId="4">
      <formula>=AND($D80&lt;&gt;"",$E80&lt;&gt;"",H$6&gt;=$D80,H$6&lt;=$E80)</formula>
    </cfRule>
  </conditionalFormatting>
  <conditionalFormatting sqref="H81:AD81">
    <cfRule type="expression" priority="72" dxfId="4">
      <formula>=AND($D81&lt;&gt;"",$E81&lt;&gt;"",H$6&gt;=$D81,H$6&lt;=$E81)</formula>
    </cfRule>
  </conditionalFormatting>
  <conditionalFormatting sqref="H82:AD82">
    <cfRule type="expression" priority="73" dxfId="4">
      <formula>=AND($D82&lt;&gt;"",$E82&lt;&gt;"",H$6&gt;=$D82,H$6&lt;=$E82)</formula>
    </cfRule>
  </conditionalFormatting>
  <conditionalFormatting sqref="H83:AD83">
    <cfRule type="expression" priority="74" dxfId="4">
      <formula>=AND($D83&lt;&gt;"",$E83&lt;&gt;"",H$6&gt;=$D83,H$6&lt;=$E83)</formula>
    </cfRule>
  </conditionalFormatting>
  <conditionalFormatting sqref="H84:AD84">
    <cfRule type="expression" priority="75" dxfId="4">
      <formula>=AND($D84&lt;&gt;"",$E84&lt;&gt;"",H$6&gt;=$D84,H$6&lt;=$E84)</formula>
    </cfRule>
  </conditionalFormatting>
  <conditionalFormatting sqref="H85:AD85">
    <cfRule type="expression" priority="76" dxfId="4">
      <formula>=AND($D85&lt;&gt;"",$E85&lt;&gt;"",H$6&gt;=$D85,H$6&lt;=$E85)</formula>
    </cfRule>
  </conditionalFormatting>
  <conditionalFormatting sqref="H86:AD86">
    <cfRule type="expression" priority="77" dxfId="4">
      <formula>=AND($D86&lt;&gt;"",$E86&lt;&gt;"",H$6&gt;=$D86,H$6&lt;=$E86)</formula>
    </cfRule>
  </conditionalFormatting>
  <conditionalFormatting sqref="H87:AD87">
    <cfRule type="expression" priority="78" dxfId="4">
      <formula>=AND($D87&lt;&gt;"",$E87&lt;&gt;"",H$6&gt;=$D87,H$6&lt;=$E87)</formula>
    </cfRule>
  </conditionalFormatting>
  <conditionalFormatting sqref="H88:AD88">
    <cfRule type="expression" priority="79" dxfId="4">
      <formula>=AND($D88&lt;&gt;"",$E88&lt;&gt;"",H$6&gt;=$D88,H$6&lt;=$E88)</formula>
    </cfRule>
  </conditionalFormatting>
  <conditionalFormatting sqref="H89:AD89">
    <cfRule type="expression" priority="80" dxfId="4">
      <formula>=AND($D89&lt;&gt;"",$E89&lt;&gt;"",H$6&gt;=$D89,H$6&lt;=$E89)</formula>
    </cfRule>
  </conditionalFormatting>
  <conditionalFormatting sqref="H90:AD90">
    <cfRule type="expression" priority="81" dxfId="4">
      <formula>=AND($D90&lt;&gt;"",$E90&lt;&gt;"",H$6&gt;=$D90,H$6&lt;=$E90)</formula>
    </cfRule>
  </conditionalFormatting>
  <conditionalFormatting sqref="H91:AD91">
    <cfRule type="expression" priority="82" dxfId="4">
      <formula>=AND($D91&lt;&gt;"",$E91&lt;&gt;"",H$6&gt;=$D91,H$6&lt;=$E91)</formula>
    </cfRule>
  </conditionalFormatting>
  <conditionalFormatting sqref="H92:AD92">
    <cfRule type="expression" priority="83" dxfId="4">
      <formula>=AND($D92&lt;&gt;"",$E92&lt;&gt;"",H$6&gt;=$D92,H$6&lt;=$E92)</formula>
    </cfRule>
  </conditionalFormatting>
  <conditionalFormatting sqref="H93:AD93">
    <cfRule type="expression" priority="84" dxfId="4">
      <formula>=AND($D93&lt;&gt;"",$E93&lt;&gt;"",H$6&gt;=$D93,H$6&lt;=$E93)</formula>
    </cfRule>
  </conditionalFormatting>
  <conditionalFormatting sqref="H94:AD94">
    <cfRule type="expression" priority="85" dxfId="4">
      <formula>=AND($D94&lt;&gt;"",$E94&lt;&gt;"",H$6&gt;=$D94,H$6&lt;=$E94)</formula>
    </cfRule>
  </conditionalFormatting>
  <conditionalFormatting sqref="H95:AD95">
    <cfRule type="expression" priority="86" dxfId="4">
      <formula>=AND($D95&lt;&gt;"",$E95&lt;&gt;"",H$6&gt;=$D95,H$6&lt;=$E95)</formula>
    </cfRule>
  </conditionalFormatting>
  <conditionalFormatting sqref="H96:AD96">
    <cfRule type="expression" priority="87" dxfId="4">
      <formula>=AND($D96&lt;&gt;"",$E96&lt;&gt;"",H$6&gt;=$D96,H$6&lt;=$E96)</formula>
    </cfRule>
  </conditionalFormatting>
  <conditionalFormatting sqref="H97:AD97">
    <cfRule type="expression" priority="88" dxfId="4">
      <formula>=AND($D97&lt;&gt;"",$E97&lt;&gt;"",H$6&gt;=$D97,H$6&lt;=$E97)</formula>
    </cfRule>
  </conditionalFormatting>
  <conditionalFormatting sqref="H98:AD98">
    <cfRule type="expression" priority="89" dxfId="4">
      <formula>=AND($D98&lt;&gt;"",$E98&lt;&gt;"",H$6&gt;=$D98,H$6&lt;=$E98)</formula>
    </cfRule>
  </conditionalFormatting>
  <conditionalFormatting sqref="H99:AD99">
    <cfRule type="expression" priority="90" dxfId="4">
      <formula>=AND($D99&lt;&gt;"",$E99&lt;&gt;"",H$6&gt;=$D99,H$6&lt;=$E99)</formula>
    </cfRule>
  </conditionalFormatting>
  <conditionalFormatting sqref="H100:AD100">
    <cfRule type="expression" priority="91" dxfId="4">
      <formula>=AND($D100&lt;&gt;"",$E100&lt;&gt;"",H$6&gt;=$D100,H$6&lt;=$E100)</formula>
    </cfRule>
  </conditionalFormatting>
  <conditionalFormatting sqref="H101:AD101">
    <cfRule type="expression" priority="92" dxfId="5">
      <formula>=AND($D101&lt;&gt;"",$E101&lt;&gt;"",H$6&gt;=$D101,H$6&lt;=$E101)</formula>
    </cfRule>
  </conditionalFormatting>
  <conditionalFormatting sqref="H102:AD102">
    <cfRule type="expression" priority="93" dxfId="5">
      <formula>=AND($D102&lt;&gt;"",$E102&lt;&gt;"",H$6&gt;=$D102,H$6&lt;=$E102)</formula>
    </cfRule>
  </conditionalFormatting>
  <conditionalFormatting sqref="H103:AD103">
    <cfRule type="expression" priority="94" dxfId="5">
      <formula>=AND($D103&lt;&gt;"",$E103&lt;&gt;"",H$6&gt;=$D103,H$6&lt;=$E103)</formula>
    </cfRule>
  </conditionalFormatting>
  <conditionalFormatting sqref="H104:AD104">
    <cfRule type="expression" priority="95" dxfId="5">
      <formula>=AND($D104&lt;&gt;"",$E104&lt;&gt;"",H$6&gt;=$D104,H$6&lt;=$E104)</formula>
    </cfRule>
  </conditionalFormatting>
  <conditionalFormatting sqref="H105:AD105">
    <cfRule type="expression" priority="96" dxfId="5">
      <formula>=AND($D105&lt;&gt;"",$E105&lt;&gt;"",H$6&gt;=$D105,H$6&lt;=$E105)</formula>
    </cfRule>
  </conditionalFormatting>
  <conditionalFormatting sqref="H106:AD106">
    <cfRule type="expression" priority="97" dxfId="5">
      <formula>=AND($D106&lt;&gt;"",$E106&lt;&gt;"",H$6&gt;=$D106,H$6&lt;=$E106)</formula>
    </cfRule>
  </conditionalFormatting>
  <conditionalFormatting sqref="H107:AD107">
    <cfRule type="expression" priority="98" dxfId="5">
      <formula>=AND($D107&lt;&gt;"",$E107&lt;&gt;"",H$6&gt;=$D107,H$6&lt;=$E107)</formula>
    </cfRule>
  </conditionalFormatting>
  <conditionalFormatting sqref="H108:AD108">
    <cfRule type="expression" priority="99" dxfId="5">
      <formula>=AND($D108&lt;&gt;"",$E108&lt;&gt;"",H$6&gt;=$D108,H$6&lt;=$E108)</formula>
    </cfRule>
  </conditionalFormatting>
  <conditionalFormatting sqref="H109:AD109">
    <cfRule type="expression" priority="100" dxfId="5">
      <formula>=AND($D109&lt;&gt;"",$E109&lt;&gt;"",H$6&gt;=$D109,H$6&lt;=$E109)</formula>
    </cfRule>
  </conditionalFormatting>
  <conditionalFormatting sqref="H110:AD110">
    <cfRule type="expression" priority="101" dxfId="5">
      <formula>=AND($D110&lt;&gt;"",$E110&lt;&gt;"",H$6&gt;=$D110,H$6&lt;=$E110)</formula>
    </cfRule>
  </conditionalFormatting>
  <conditionalFormatting sqref="H111:AD111">
    <cfRule type="expression" priority="102" dxfId="5">
      <formula>=AND($D111&lt;&gt;"",$E111&lt;&gt;"",H$6&gt;=$D111,H$6&lt;=$E111)</formula>
    </cfRule>
  </conditionalFormatting>
  <conditionalFormatting sqref="H112:AD112">
    <cfRule type="expression" priority="103" dxfId="5">
      <formula>=AND($D112&lt;&gt;"",$E112&lt;&gt;"",H$6&gt;=$D112,H$6&lt;=$E112)</formula>
    </cfRule>
  </conditionalFormatting>
  <conditionalFormatting sqref="H113:AD113">
    <cfRule type="expression" priority="104" dxfId="5">
      <formula>=AND($D113&lt;&gt;"",$E113&lt;&gt;"",H$6&gt;=$D113,H$6&lt;=$E113)</formula>
    </cfRule>
  </conditionalFormatting>
  <conditionalFormatting sqref="H114:AD114">
    <cfRule type="expression" priority="105" dxfId="5">
      <formula>=AND($D114&lt;&gt;"",$E114&lt;&gt;"",H$6&gt;=$D114,H$6&lt;=$E114)</formula>
    </cfRule>
  </conditionalFormatting>
  <conditionalFormatting sqref="H115:AD115">
    <cfRule type="expression" priority="106" dxfId="5">
      <formula>=AND($D115&lt;&gt;"",$E115&lt;&gt;"",H$6&gt;=$D115,H$6&lt;=$E115)</formula>
    </cfRule>
  </conditionalFormatting>
  <conditionalFormatting sqref="H116:AD116">
    <cfRule type="expression" priority="107" dxfId="5">
      <formula>=AND($D116&lt;&gt;"",$E116&lt;&gt;"",H$6&gt;=$D116,H$6&lt;=$E116)</formula>
    </cfRule>
  </conditionalFormatting>
  <conditionalFormatting sqref="H117:AD117">
    <cfRule type="expression" priority="108" dxfId="2">
      <formula>=AND($D117&lt;&gt;"",$E117&lt;&gt;"",H$6&gt;=$D117,H$6&lt;=$E117)</formula>
    </cfRule>
  </conditionalFormatting>
  <conditionalFormatting sqref="H118:AD118">
    <cfRule type="expression" priority="109" dxfId="6">
      <formula>=AND($D118&lt;&gt;"",$E118&lt;&gt;"",H$6&gt;=$D118,H$6&lt;=$E118)</formula>
    </cfRule>
  </conditionalFormatting>
  <conditionalFormatting sqref="H119:AD119">
    <cfRule type="expression" priority="110" dxfId="6">
      <formula>=AND($D119&lt;&gt;"",$E119&lt;&gt;"",H$6&gt;=$D119,H$6&lt;=$E119)</formula>
    </cfRule>
  </conditionalFormatting>
  <conditionalFormatting sqref="H120:AD120">
    <cfRule type="expression" priority="111" dxfId="6">
      <formula>=AND($D120&lt;&gt;"",$E120&lt;&gt;"",H$6&gt;=$D120,H$6&lt;=$E120)</formula>
    </cfRule>
  </conditionalFormatting>
  <conditionalFormatting sqref="H121:AD121">
    <cfRule type="expression" priority="112" dxfId="6">
      <formula>=AND($D121&lt;&gt;"",$E121&lt;&gt;"",H$6&gt;=$D121,H$6&lt;=$E121)</formula>
    </cfRule>
  </conditionalFormatting>
  <conditionalFormatting sqref="H122:AD122">
    <cfRule type="expression" priority="113" dxfId="6">
      <formula>=AND($D122&lt;&gt;"",$E122&lt;&gt;"",H$6&gt;=$D122,H$6&lt;=$E122)</formula>
    </cfRule>
  </conditionalFormatting>
  <conditionalFormatting sqref="H123:AD123">
    <cfRule type="expression" priority="114" dxfId="6">
      <formula>=AND($D123&lt;&gt;"",$E123&lt;&gt;"",H$6&gt;=$D123,H$6&lt;=$E123)</formula>
    </cfRule>
  </conditionalFormatting>
  <conditionalFormatting sqref="H124:AD124">
    <cfRule type="expression" priority="115" dxfId="6">
      <formula>=AND($D124&lt;&gt;"",$E124&lt;&gt;"",H$6&gt;=$D124,H$6&lt;=$E124)</formula>
    </cfRule>
  </conditionalFormatting>
  <conditionalFormatting sqref="H125:AD125">
    <cfRule type="expression" priority="116" dxfId="6">
      <formula>=AND($D125&lt;&gt;"",$E125&lt;&gt;"",H$6&gt;=$D125,H$6&lt;=$E125)</formula>
    </cfRule>
  </conditionalFormatting>
  <conditionalFormatting sqref="H126:AD126">
    <cfRule type="expression" priority="117" dxfId="6">
      <formula>=AND($D126&lt;&gt;"",$E126&lt;&gt;"",H$6&gt;=$D126,H$6&lt;=$E126)</formula>
    </cfRule>
  </conditionalFormatting>
  <conditionalFormatting sqref="H127:AD127">
    <cfRule type="expression" priority="118" dxfId="6">
      <formula>=AND($D127&lt;&gt;"",$E127&lt;&gt;"",H$6&gt;=$D127,H$6&lt;=$E127)</formula>
    </cfRule>
  </conditionalFormatting>
  <conditionalFormatting sqref="H128:AD128">
    <cfRule type="expression" priority="119" dxfId="6">
      <formula>=AND($D128&lt;&gt;"",$E128&lt;&gt;"",H$6&gt;=$D128,H$6&lt;=$E128)</formula>
    </cfRule>
  </conditionalFormatting>
  <conditionalFormatting sqref="H129:AD129">
    <cfRule type="expression" priority="120" dxfId="6">
      <formula>=AND($D129&lt;&gt;"",$E129&lt;&gt;"",H$6&gt;=$D129,H$6&lt;=$E129)</formula>
    </cfRule>
  </conditionalFormatting>
  <conditionalFormatting sqref="H130:AD130">
    <cfRule type="expression" priority="121" dxfId="2">
      <formula>=AND($D130&lt;&gt;"",$E130&lt;&gt;"",H$6&gt;=$D130,H$6&lt;=$E130)</formula>
    </cfRule>
  </conditionalFormatting>
  <conditionalFormatting sqref="H131:AD131">
    <cfRule type="expression" priority="122" dxfId="2">
      <formula>=AND($D131&lt;&gt;"",$E131&lt;&gt;"",H$6&gt;=$D131,H$6&lt;=$E131)</formula>
    </cfRule>
  </conditionalFormatting>
  <conditionalFormatting sqref="H132:AD132">
    <cfRule type="expression" priority="123" dxfId="2">
      <formula>=AND($D132&lt;&gt;"",$E132&lt;&gt;"",H$6&gt;=$D132,H$6&lt;=$E132)</formula>
    </cfRule>
  </conditionalFormatting>
  <conditionalFormatting sqref="H133:AD133">
    <cfRule type="expression" priority="124" dxfId="2">
      <formula>=AND($D133&lt;&gt;"",$E133&lt;&gt;"",H$6&gt;=$D133,H$6&lt;=$E133)</formula>
    </cfRule>
  </conditionalFormatting>
  <conditionalFormatting sqref="H134:AD134">
    <cfRule type="expression" priority="125" dxfId="2">
      <formula>=AND($D134&lt;&gt;"",$E134&lt;&gt;"",H$6&gt;=$D134,H$6&lt;=$E134)</formula>
    </cfRule>
  </conditionalFormatting>
  <conditionalFormatting sqref="H135:AD135">
    <cfRule type="expression" priority="126" dxfId="2">
      <formula>=AND($D135&lt;&gt;"",$E135&lt;&gt;"",H$6&gt;=$D135,H$6&lt;=$E135)</formula>
    </cfRule>
  </conditionalFormatting>
  <conditionalFormatting sqref="H136:AD136">
    <cfRule type="expression" priority="127" dxfId="2">
      <formula>=AND($D136&lt;&gt;"",$E136&lt;&gt;"",H$6&gt;=$D136,H$6&lt;=$E136)</formula>
    </cfRule>
  </conditionalFormatting>
  <conditionalFormatting sqref="H137:AD137">
    <cfRule type="expression" priority="128" dxfId="2">
      <formula>=AND($D137&lt;&gt;"",$E137&lt;&gt;"",H$6&gt;=$D137,H$6&lt;=$E137)</formula>
    </cfRule>
  </conditionalFormatting>
  <conditionalFormatting sqref="H138:AD138">
    <cfRule type="expression" priority="129" dxfId="2">
      <formula>=AND($D138&lt;&gt;"",$E138&lt;&gt;"",H$6&gt;=$D138,H$6&lt;=$E138)</formula>
    </cfRule>
  </conditionalFormatting>
  <conditionalFormatting sqref="H139:AD139">
    <cfRule type="expression" priority="130" dxfId="2">
      <formula>=AND($D139&lt;&gt;"",$E139&lt;&gt;"",H$6&gt;=$D139,H$6&lt;=$E139)</formula>
    </cfRule>
  </conditionalFormatting>
  <conditionalFormatting sqref="H140:AD140">
    <cfRule type="expression" priority="131" dxfId="2">
      <formula>=AND($D140&lt;&gt;"",$E140&lt;&gt;"",H$6&gt;=$D140,H$6&lt;=$E140)</formula>
    </cfRule>
  </conditionalFormatting>
  <conditionalFormatting sqref="H141:AD141">
    <cfRule type="expression" priority="132" dxfId="2">
      <formula>=AND($D141&lt;&gt;"",$E141&lt;&gt;"",H$6&gt;=$D141,H$6&lt;=$E141)</formula>
    </cfRule>
  </conditionalFormatting>
  <conditionalFormatting sqref="H142:AD142">
    <cfRule type="expression" priority="133" dxfId="2">
      <formula>=AND($D142&lt;&gt;"",$E142&lt;&gt;"",H$6&gt;=$D142,H$6&lt;=$E142)</formula>
    </cfRule>
  </conditionalFormatting>
  <conditionalFormatting sqref="H143:AD143">
    <cfRule type="expression" priority="134" dxfId="2">
      <formula>=AND($D143&lt;&gt;"",$E143&lt;&gt;"",H$6&gt;=$D143,H$6&lt;=$E143)</formula>
    </cfRule>
  </conditionalFormatting>
  <conditionalFormatting sqref="H144:AD144">
    <cfRule type="expression" priority="135" dxfId="2">
      <formula>=AND($D144&lt;&gt;"",$E144&lt;&gt;"",H$6&gt;=$D144,H$6&lt;=$E144)</formula>
    </cfRule>
  </conditionalFormatting>
  <conditionalFormatting sqref="H145:AD145">
    <cfRule type="expression" priority="136" dxfId="2">
      <formula>=AND($D145&lt;&gt;"",$E145&lt;&gt;"",H$6&gt;=$D145,H$6&lt;=$E145)</formula>
    </cfRule>
  </conditionalFormatting>
  <conditionalFormatting sqref="H146:AD146">
    <cfRule type="expression" priority="137" dxfId="7">
      <formula>=AND($D146&lt;&gt;"",$E146&lt;&gt;"",H$6&gt;=$D146,H$6&lt;=$E146)</formula>
    </cfRule>
  </conditionalFormatting>
  <conditionalFormatting sqref="H147:AD147">
    <cfRule type="expression" priority="138" dxfId="7">
      <formula>=AND($D147&lt;&gt;"",$E147&lt;&gt;"",H$6&gt;=$D147,H$6&lt;=$E147)</formula>
    </cfRule>
  </conditionalFormatting>
  <conditionalFormatting sqref="H148:AD148">
    <cfRule type="expression" priority="139" dxfId="7">
      <formula>=AND($D148&lt;&gt;"",$E148&lt;&gt;"",H$6&gt;=$D148,H$6&lt;=$E148)</formula>
    </cfRule>
  </conditionalFormatting>
  <conditionalFormatting sqref="H149:AD149">
    <cfRule type="expression" priority="140" dxfId="7">
      <formula>=AND($D149&lt;&gt;"",$E149&lt;&gt;"",H$6&gt;=$D149,H$6&lt;=$E149)</formula>
    </cfRule>
  </conditionalFormatting>
  <conditionalFormatting sqref="H150:AD150">
    <cfRule type="expression" priority="141" dxfId="7">
      <formula>=AND($D150&lt;&gt;"",$E150&lt;&gt;"",H$6&gt;=$D150,H$6&lt;=$E150)</formula>
    </cfRule>
  </conditionalFormatting>
  <conditionalFormatting sqref="H151:AD151">
    <cfRule type="expression" priority="142" dxfId="7">
      <formula>=AND($D151&lt;&gt;"",$E151&lt;&gt;"",H$6&gt;=$D151,H$6&lt;=$E151)</formula>
    </cfRule>
  </conditionalFormatting>
  <conditionalFormatting sqref="H152:AD152">
    <cfRule type="expression" priority="143" dxfId="7">
      <formula>=AND($D152&lt;&gt;"",$E152&lt;&gt;"",H$6&gt;=$D152,H$6&lt;=$E152)</formula>
    </cfRule>
  </conditionalFormatting>
  <conditionalFormatting sqref="H153:AD153">
    <cfRule type="expression" priority="144" dxfId="7">
      <formula>=AND($D153&lt;&gt;"",$E153&lt;&gt;"",H$6&gt;=$D153,H$6&lt;=$E153)</formula>
    </cfRule>
  </conditionalFormatting>
  <conditionalFormatting sqref="H154:AD154">
    <cfRule type="expression" priority="145" dxfId="7">
      <formula>=AND($D154&lt;&gt;"",$E154&lt;&gt;"",H$6&gt;=$D154,H$6&lt;=$E154)</formula>
    </cfRule>
  </conditionalFormatting>
  <conditionalFormatting sqref="H155:AD155">
    <cfRule type="expression" priority="146" dxfId="7">
      <formula>=AND($D155&lt;&gt;"",$E155&lt;&gt;"",H$6&gt;=$D155,H$6&lt;=$E155)</formula>
    </cfRule>
  </conditionalFormatting>
  <conditionalFormatting sqref="H156:AD156">
    <cfRule type="expression" priority="147" dxfId="7">
      <formula>=AND($D156&lt;&gt;"",$E156&lt;&gt;"",H$6&gt;=$D156,H$6&lt;=$E156)</formula>
    </cfRule>
  </conditionalFormatting>
  <conditionalFormatting sqref="H157:AD157">
    <cfRule type="expression" priority="148" dxfId="7">
      <formula>=AND($D157&lt;&gt;"",$E157&lt;&gt;"",H$6&gt;=$D157,H$6&lt;=$E157)</formula>
    </cfRule>
  </conditionalFormatting>
  <conditionalFormatting sqref="H158:AD158">
    <cfRule type="expression" priority="149" dxfId="7">
      <formula>=AND($D158&lt;&gt;"",$E158&lt;&gt;"",H$6&gt;=$D158,H$6&lt;=$E158)</formula>
    </cfRule>
  </conditionalFormatting>
  <conditionalFormatting sqref="H159:AD159">
    <cfRule type="expression" priority="150" dxfId="7">
      <formula>=AND($D159&lt;&gt;"",$E159&lt;&gt;"",H$6&gt;=$D159,H$6&lt;=$E159)</formula>
    </cfRule>
  </conditionalFormatting>
  <conditionalFormatting sqref="H160:AD160">
    <cfRule type="expression" priority="151" dxfId="7">
      <formula>=AND($D160&lt;&gt;"",$E160&lt;&gt;"",H$6&gt;=$D160,H$6&lt;=$E160)</formula>
    </cfRule>
  </conditionalFormatting>
  <conditionalFormatting sqref="H161:AD161">
    <cfRule type="expression" priority="152" dxfId="7">
      <formula>=AND($D161&lt;&gt;"",$E161&lt;&gt;"",H$6&gt;=$D161,H$6&lt;=$E161)</formula>
    </cfRule>
  </conditionalFormatting>
  <conditionalFormatting sqref="H162:AD162">
    <cfRule type="expression" priority="153" dxfId="7">
      <formula>=AND($D162&lt;&gt;"",$E162&lt;&gt;"",H$6&gt;=$D162,H$6&lt;=$E162)</formula>
    </cfRule>
  </conditionalFormatting>
  <conditionalFormatting sqref="H163:AD163">
    <cfRule type="expression" priority="154" dxfId="7">
      <formula>=AND($D163&lt;&gt;"",$E163&lt;&gt;"",H$6&gt;=$D163,H$6&lt;=$E163)</formula>
    </cfRule>
  </conditionalFormatting>
  <conditionalFormatting sqref="H164:AD164">
    <cfRule type="expression" priority="155" dxfId="7">
      <formula>=AND($D164&lt;&gt;"",$E164&lt;&gt;"",H$6&gt;=$D164,H$6&lt;=$E164)</formula>
    </cfRule>
  </conditionalFormatting>
  <conditionalFormatting sqref="H165:AD165">
    <cfRule type="expression" priority="156" dxfId="2">
      <formula>=AND($D165&lt;&gt;"",$E165&lt;&gt;"",H$6&gt;=$D165,H$6&lt;=$E165)</formula>
    </cfRule>
  </conditionalFormatting>
  <conditionalFormatting sqref="H166:AD166">
    <cfRule type="expression" priority="157" dxfId="8">
      <formula>=AND($D166&lt;&gt;"",$E166&lt;&gt;"",H$6&gt;=$D166,H$6&lt;=$E166)</formula>
    </cfRule>
  </conditionalFormatting>
  <conditionalFormatting sqref="H167:AD167">
    <cfRule type="expression" priority="158" dxfId="8">
      <formula>=AND($D167&lt;&gt;"",$E167&lt;&gt;"",H$6&gt;=$D167,H$6&lt;=$E167)</formula>
    </cfRule>
  </conditionalFormatting>
  <conditionalFormatting sqref="H168:AD168">
    <cfRule type="expression" priority="159" dxfId="8">
      <formula>=AND($D168&lt;&gt;"",$E168&lt;&gt;"",H$6&gt;=$D168,H$6&lt;=$E168)</formula>
    </cfRule>
  </conditionalFormatting>
  <conditionalFormatting sqref="H169:AD169">
    <cfRule type="expression" priority="160" dxfId="8">
      <formula>=AND($D169&lt;&gt;"",$E169&lt;&gt;"",H$6&gt;=$D169,H$6&lt;=$E169)</formula>
    </cfRule>
  </conditionalFormatting>
  <conditionalFormatting sqref="H170:AD170">
    <cfRule type="expression" priority="161" dxfId="8">
      <formula>=AND($D170&lt;&gt;"",$E170&lt;&gt;"",H$6&gt;=$D170,H$6&lt;=$E170)</formula>
    </cfRule>
  </conditionalFormatting>
  <conditionalFormatting sqref="H171:AD171">
    <cfRule type="expression" priority="162" dxfId="8">
      <formula>=AND($D171&lt;&gt;"",$E171&lt;&gt;"",H$6&gt;=$D171,H$6&lt;=$E171)</formula>
    </cfRule>
  </conditionalFormatting>
  <conditionalFormatting sqref="H172:AD172">
    <cfRule type="expression" priority="163" dxfId="8">
      <formula>=AND($D172&lt;&gt;"",$E172&lt;&gt;"",H$6&gt;=$D172,H$6&lt;=$E172)</formula>
    </cfRule>
  </conditionalFormatting>
  <conditionalFormatting sqref="H173:AD173">
    <cfRule type="expression" priority="164" dxfId="8">
      <formula>=AND($D173&lt;&gt;"",$E173&lt;&gt;"",H$6&gt;=$D173,H$6&lt;=$E173)</formula>
    </cfRule>
  </conditionalFormatting>
  <conditionalFormatting sqref="H174:AD174">
    <cfRule type="expression" priority="165" dxfId="8">
      <formula>=AND($D174&lt;&gt;"",$E174&lt;&gt;"",H$6&gt;=$D174,H$6&lt;=$E174)</formula>
    </cfRule>
  </conditionalFormatting>
  <conditionalFormatting sqref="H175:AD175">
    <cfRule type="expression" priority="166" dxfId="8">
      <formula>=AND($D175&lt;&gt;"",$E175&lt;&gt;"",H$6&gt;=$D175,H$6&lt;=$E175)</formula>
    </cfRule>
  </conditionalFormatting>
  <conditionalFormatting sqref="H176:AD176">
    <cfRule type="expression" priority="167" dxfId="8">
      <formula>=AND($D176&lt;&gt;"",$E176&lt;&gt;"",H$6&gt;=$D176,H$6&lt;=$E176)</formula>
    </cfRule>
  </conditionalFormatting>
  <conditionalFormatting sqref="H177:AD177">
    <cfRule type="expression" priority="168" dxfId="8">
      <formula>=AND($D177&lt;&gt;"",$E177&lt;&gt;"",H$6&gt;=$D177,H$6&lt;=$E177)</formula>
    </cfRule>
  </conditionalFormatting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8" customWidth="1" min="4" max="4"/>
    <col width="24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87" t="inlineStr">
        <is>
          <t xml:space="preserve">  ORACLE EPM WFP — CALCULATION RULES REGISTER  |  Sprint-Mapped  |  20 Rules Total</t>
        </is>
      </c>
    </row>
    <row r="2" ht="16" customHeight="1">
      <c r="A2" s="88" t="inlineStr">
        <is>
          <t>#</t>
        </is>
      </c>
      <c r="B2" s="88" t="inlineStr">
        <is>
          <t>Rule Name</t>
        </is>
      </c>
      <c r="C2" s="88" t="inlineStr">
        <is>
          <t>Type</t>
        </is>
      </c>
      <c r="D2" s="88" t="inlineStr">
        <is>
          <t>Logic / Calculation</t>
        </is>
      </c>
      <c r="E2" s="88" t="inlineStr">
        <is>
          <t>Dimensions</t>
        </is>
      </c>
      <c r="F2" s="88" t="inlineStr">
        <is>
          <t>Script Type</t>
        </is>
      </c>
      <c r="G2" s="88" t="inlineStr">
        <is>
          <t>Sprint</t>
        </is>
      </c>
      <c r="H2" s="88" t="inlineStr">
        <is>
          <t>Status</t>
        </is>
      </c>
    </row>
    <row r="3" ht="32" customHeight="1">
      <c r="A3" s="89" t="inlineStr">
        <is>
          <t>── ORACLE STANDARD RULES (Sprint 1) ────────────────────────────────────────────────────────</t>
        </is>
      </c>
    </row>
    <row r="4" ht="32" customHeight="1">
      <c r="A4" s="90" t="n">
        <v>1</v>
      </c>
      <c r="B4" s="91" t="inlineStr">
        <is>
          <t>OEP_WFPCalcAll</t>
        </is>
      </c>
      <c r="C4" s="92" t="inlineStr">
        <is>
          <t>Standard Oracle</t>
        </is>
      </c>
      <c r="D4" s="92" t="inlineStr">
        <is>
          <t>Master rule — calculates all WFP data for all entities. Triggers compensation, HC aggregation, and period spread</t>
        </is>
      </c>
      <c r="E4" s="92" t="inlineStr">
        <is>
          <t>All dimensions</t>
        </is>
      </c>
      <c r="F4" s="92" t="inlineStr">
        <is>
          <t>None (std)</t>
        </is>
      </c>
      <c r="G4" s="90" t="inlineStr">
        <is>
          <t>S1</t>
        </is>
      </c>
      <c r="H4" s="93" t="inlineStr">
        <is>
          <t>Active</t>
        </is>
      </c>
    </row>
    <row r="5" ht="32" customHeight="1">
      <c r="A5" s="94" t="n">
        <v>2</v>
      </c>
      <c r="B5" s="95" t="inlineStr">
        <is>
          <t>OEP_WFPClearAll</t>
        </is>
      </c>
      <c r="C5" s="96" t="inlineStr">
        <is>
          <t>Standard Oracle</t>
        </is>
      </c>
      <c r="D5" s="96" t="inlineStr">
        <is>
          <t>Clears all WFP data before full recalculation. Must precede WFPCalcAll to prevent double-counting</t>
        </is>
      </c>
      <c r="E5" s="96" t="inlineStr">
        <is>
          <t>All</t>
        </is>
      </c>
      <c r="F5" s="96" t="inlineStr">
        <is>
          <t>None (std)</t>
        </is>
      </c>
      <c r="G5" s="94" t="inlineStr">
        <is>
          <t>S1</t>
        </is>
      </c>
      <c r="H5" s="97" t="inlineStr">
        <is>
          <t>Active</t>
        </is>
      </c>
    </row>
    <row r="6" ht="32" customHeight="1">
      <c r="A6" s="90" t="n">
        <v>3</v>
      </c>
      <c r="B6" s="91" t="inlineStr">
        <is>
          <t>OEP_WFPSpread</t>
        </is>
      </c>
      <c r="C6" s="92" t="inlineStr">
        <is>
          <t>Standard Oracle</t>
        </is>
      </c>
      <c r="D6" s="92" t="inlineStr">
        <is>
          <t>Spreads annual comp / HC values across monthly periods. Supports: even, actual-days, custom spread patterns</t>
        </is>
      </c>
      <c r="E6" s="92" t="inlineStr">
        <is>
          <t>Period, Year</t>
        </is>
      </c>
      <c r="F6" s="92" t="inlineStr">
        <is>
          <t>None (std)</t>
        </is>
      </c>
      <c r="G6" s="90" t="inlineStr">
        <is>
          <t>S1</t>
        </is>
      </c>
      <c r="H6" s="93" t="inlineStr">
        <is>
          <t>Active</t>
        </is>
      </c>
    </row>
    <row r="7" ht="32" customHeight="1">
      <c r="A7" s="94" t="n">
        <v>4</v>
      </c>
      <c r="B7" s="95" t="inlineStr">
        <is>
          <t>OEP_WFPAggregateAll</t>
        </is>
      </c>
      <c r="C7" s="96" t="inlineStr">
        <is>
          <t>Standard Oracle</t>
        </is>
      </c>
      <c r="D7" s="96" t="inlineStr">
        <is>
          <t>Rolls department-level data up entity / division hierarchy for consolidated management reporting</t>
        </is>
      </c>
      <c r="E7" s="96" t="inlineStr">
        <is>
          <t>Entity, Dept</t>
        </is>
      </c>
      <c r="F7" s="96" t="inlineStr">
        <is>
          <t>None (std)</t>
        </is>
      </c>
      <c r="G7" s="94" t="inlineStr">
        <is>
          <t>S1</t>
        </is>
      </c>
      <c r="H7" s="97" t="inlineStr">
        <is>
          <t>Active</t>
        </is>
      </c>
    </row>
    <row r="8" ht="32" customHeight="1">
      <c r="A8" s="90" t="n">
        <v>5</v>
      </c>
      <c r="B8" s="91" t="inlineStr">
        <is>
          <t>OEP_WFPCalcByEntity</t>
        </is>
      </c>
      <c r="C8" s="92" t="inlineStr">
        <is>
          <t>Standard Oracle</t>
        </is>
      </c>
      <c r="D8" s="92" t="inlineStr">
        <is>
          <t>Entity-scoped incremental calc. Used for single-entity updates without triggering full enterprise recalc</t>
        </is>
      </c>
      <c r="E8" s="92" t="inlineStr">
        <is>
          <t>Entity, Scenario</t>
        </is>
      </c>
      <c r="F8" s="92" t="inlineStr">
        <is>
          <t>None (std)</t>
        </is>
      </c>
      <c r="G8" s="90" t="inlineStr">
        <is>
          <t>S1</t>
        </is>
      </c>
      <c r="H8" s="93" t="inlineStr">
        <is>
          <t>Active</t>
        </is>
      </c>
    </row>
    <row r="9" ht="32" customHeight="1">
      <c r="A9" s="89" t="inlineStr">
        <is>
          <t>── CUSTOM GROOVY RULES — COMPENSATION (Sprint 3) ───────────────────────────────────────────────</t>
        </is>
      </c>
    </row>
    <row r="10" ht="32" customHeight="1">
      <c r="A10" s="90" t="n">
        <v>6</v>
      </c>
      <c r="B10" s="91" t="inlineStr">
        <is>
          <t>CUST_SalaryEscalation</t>
        </is>
      </c>
      <c r="C10" s="92" t="inlineStr">
        <is>
          <t>Custom Groovy</t>
        </is>
      </c>
      <c r="D10" s="92" t="inlineStr">
        <is>
          <t>Merit escalation by Job Grade &amp; Seniority Band. Reads Merit_Pct[Grade,Year] assumption table. Rolls forward from prior year actuals. Formula: Base_t = Base_t-1 × (1 + Merit_Pct[Grade,Year])</t>
        </is>
      </c>
      <c r="E10" s="92" t="inlineStr">
        <is>
          <t>Job Code, Grade, Period</t>
        </is>
      </c>
      <c r="F10" s="92" t="inlineStr">
        <is>
          <t>Groovy</t>
        </is>
      </c>
      <c r="G10" s="90" t="inlineStr">
        <is>
          <t>S3</t>
        </is>
      </c>
      <c r="H10" s="98" t="inlineStr">
        <is>
          <t>Dev</t>
        </is>
      </c>
    </row>
    <row r="11" ht="32" customHeight="1">
      <c r="A11" s="94" t="n">
        <v>7</v>
      </c>
      <c r="B11" s="95" t="inlineStr">
        <is>
          <t>CUST_COLAAdjustment</t>
        </is>
      </c>
      <c r="C11" s="96" t="inlineStr">
        <is>
          <t>Custom Groovy</t>
        </is>
      </c>
      <c r="D11" s="96" t="inlineStr">
        <is>
          <t>CPI-linked Cost of Living Adjustment applied as scalar multiplier. Separate COLA% for: (a) unionized positions, (b) non-unionized. Source: HR Annual Compensation Review table</t>
        </is>
      </c>
      <c r="E11" s="96" t="inlineStr">
        <is>
          <t>Job Code, Union_Flag</t>
        </is>
      </c>
      <c r="F11" s="96" t="inlineStr">
        <is>
          <t>Groovy</t>
        </is>
      </c>
      <c r="G11" s="94" t="inlineStr">
        <is>
          <t>S3</t>
        </is>
      </c>
      <c r="H11" s="99" t="inlineStr">
        <is>
          <t>Dev</t>
        </is>
      </c>
    </row>
    <row r="12" ht="32" customHeight="1">
      <c r="A12" s="90" t="n">
        <v>8</v>
      </c>
      <c r="B12" s="91" t="inlineStr">
        <is>
          <t>CUST_BonusCalc</t>
        </is>
      </c>
      <c r="C12" s="92" t="inlineStr">
        <is>
          <t>Custom Groovy</t>
        </is>
      </c>
      <c r="D12" s="92" t="inlineStr">
        <is>
          <t>Short-Term Incentive (STI) pool: STI = Base_Salary × Bonus_Target_Pct × Perf_Modifier. Perf_Modifier is scenario-driven (Budget=1.0, Stretch=1.2, Downside=0.7). Accrued monthly, settled annually</t>
        </is>
      </c>
      <c r="E12" s="92" t="inlineStr">
        <is>
          <t>Dept, Scenario</t>
        </is>
      </c>
      <c r="F12" s="92" t="inlineStr">
        <is>
          <t>Groovy</t>
        </is>
      </c>
      <c r="G12" s="90" t="inlineStr">
        <is>
          <t>S3</t>
        </is>
      </c>
      <c r="H12" s="98" t="inlineStr">
        <is>
          <t>Dev</t>
        </is>
      </c>
    </row>
    <row r="13" ht="32" customHeight="1">
      <c r="A13" s="94" t="n">
        <v>9</v>
      </c>
      <c r="B13" s="95" t="inlineStr">
        <is>
          <t>CUST_BenefitsLoading</t>
        </is>
      </c>
      <c r="C13" s="96" t="inlineStr">
        <is>
          <t>Custom Groovy</t>
        </is>
      </c>
      <c r="D13" s="96" t="inlineStr">
        <is>
          <t>Employer statutory burden: CPP (4.95% up to YMPE), EI (1.66× employee rate), WSIB (by NAICS class), Group Benefits (% of base), Pension match (% of base). Full-time vs part-time rate splits</t>
        </is>
      </c>
      <c r="E13" s="96" t="inlineStr">
        <is>
          <t>Emp_Type, Province</t>
        </is>
      </c>
      <c r="F13" s="96" t="inlineStr">
        <is>
          <t>Groovy</t>
        </is>
      </c>
      <c r="G13" s="94" t="inlineStr">
        <is>
          <t>S3</t>
        </is>
      </c>
      <c r="H13" s="99" t="inlineStr">
        <is>
          <t>Dev</t>
        </is>
      </c>
    </row>
    <row r="14" ht="32" customHeight="1">
      <c r="A14" s="89" t="inlineStr">
        <is>
          <t>── CUSTOM GROOVY RULES — HEADCOUNT DRIVERS (Sprint 3–4) ───────────────────────────────────────</t>
        </is>
      </c>
    </row>
    <row r="15" ht="32" customHeight="1">
      <c r="A15" s="94" t="n">
        <v>10</v>
      </c>
      <c r="B15" s="95" t="inlineStr">
        <is>
          <t>CUST_VacancyRate</t>
        </is>
      </c>
      <c r="C15" s="96" t="inlineStr">
        <is>
          <t>Custom Groovy</t>
        </is>
      </c>
      <c r="D15" s="96" t="inlineStr">
        <is>
          <t>Vacancy Rate = (Approved_HC – Filled_HC) / Approved_HC. Computed at position → department → entity level. Used in OPEX comp savings calc</t>
        </is>
      </c>
      <c r="E15" s="96" t="inlineStr">
        <is>
          <t>Position, Dept</t>
        </is>
      </c>
      <c r="F15" s="96" t="inlineStr">
        <is>
          <t>Groovy</t>
        </is>
      </c>
      <c r="G15" s="94" t="inlineStr">
        <is>
          <t>S3</t>
        </is>
      </c>
      <c r="H15" s="99" t="inlineStr">
        <is>
          <t>Dev</t>
        </is>
      </c>
    </row>
    <row r="16" ht="32" customHeight="1">
      <c r="A16" s="90" t="n">
        <v>11</v>
      </c>
      <c r="B16" s="91" t="inlineStr">
        <is>
          <t>CUST_FTEGapAnalysis</t>
        </is>
      </c>
      <c r="C16" s="92" t="inlineStr">
        <is>
          <t>Custom Groovy</t>
        </is>
      </c>
      <c r="D16" s="92" t="inlineStr">
        <is>
          <t>FTE Gap = Approved_HC – Filled_HC. Flags departments where Gap &gt; 10% (configurable). Outputs alert flag to CFO dashboard infolet</t>
        </is>
      </c>
      <c r="E16" s="92" t="inlineStr">
        <is>
          <t>Position, Entity</t>
        </is>
      </c>
      <c r="F16" s="92" t="inlineStr">
        <is>
          <t>Groovy</t>
        </is>
      </c>
      <c r="G16" s="90" t="inlineStr">
        <is>
          <t>S3</t>
        </is>
      </c>
      <c r="H16" s="98" t="inlineStr">
        <is>
          <t>Dev</t>
        </is>
      </c>
    </row>
    <row r="17" ht="32" customHeight="1">
      <c r="A17" s="94" t="n">
        <v>12</v>
      </c>
      <c r="B17" s="95" t="inlineStr">
        <is>
          <t>CUST_NewHireRamp</t>
        </is>
      </c>
      <c r="C17" s="96" t="inlineStr">
        <is>
          <t>Custom Groovy</t>
        </is>
      </c>
      <c r="D17" s="96" t="inlineStr">
        <is>
          <t>Partial-year cost: Cost = Annual_Salary × (Remaining_Months / 12) × Ramp_Pct[Hire_Month]. Ramp schedule loaded from assumption table (typically 50% M1, 75% M2, 100% M3+)</t>
        </is>
      </c>
      <c r="E17" s="96" t="inlineStr">
        <is>
          <t>Position, Period</t>
        </is>
      </c>
      <c r="F17" s="96" t="inlineStr">
        <is>
          <t>Groovy</t>
        </is>
      </c>
      <c r="G17" s="94" t="inlineStr">
        <is>
          <t>S3</t>
        </is>
      </c>
      <c r="H17" s="99" t="inlineStr">
        <is>
          <t>Dev</t>
        </is>
      </c>
    </row>
    <row r="18" ht="32" customHeight="1">
      <c r="A18" s="90" t="n">
        <v>13</v>
      </c>
      <c r="B18" s="91" t="inlineStr">
        <is>
          <t>CUST_TerminationLogic</t>
        </is>
      </c>
      <c r="C18" s="92" t="inlineStr">
        <is>
          <t>Custom Groovy</t>
        </is>
      </c>
      <c r="D18" s="92" t="inlineStr">
        <is>
          <t>Zeroes compensation from effective termination date. Severance: Base_Salary × (Sev_Weeks/52). FTE count removed from effective month. Triggers CUST_FTEGapAnalysis re-run</t>
        </is>
      </c>
      <c r="E18" s="92" t="inlineStr">
        <is>
          <t>Position, Period</t>
        </is>
      </c>
      <c r="F18" s="92" t="inlineStr">
        <is>
          <t>Groovy</t>
        </is>
      </c>
      <c r="G18" s="90" t="inlineStr">
        <is>
          <t>S3</t>
        </is>
      </c>
      <c r="H18" s="98" t="inlineStr">
        <is>
          <t>Dev</t>
        </is>
      </c>
    </row>
    <row r="19" ht="32" customHeight="1">
      <c r="A19" s="89" t="inlineStr">
        <is>
          <t>── CUSTOM GROOVY RULES — OPEX &amp; INTEGRATION (Sprint 4–5) ─────────────────────────────────────</t>
        </is>
      </c>
    </row>
    <row r="20" ht="32" customHeight="1">
      <c r="A20" s="90" t="n">
        <v>14</v>
      </c>
      <c r="B20" s="91" t="inlineStr">
        <is>
          <t>CUST_ContractorCost</t>
        </is>
      </c>
      <c r="C20" s="92" t="inlineStr">
        <is>
          <t>Custom Groovy</t>
        </is>
      </c>
      <c r="D20" s="92" t="inlineStr">
        <is>
          <t>Contingent workforce: Cost = Bill_Rate × Contracted_Hours × Utilization_Pct. Separate from headcount-based comp. Aggregates into OPEX G&amp;A P&amp;L below personnel line</t>
        </is>
      </c>
      <c r="E20" s="92" t="inlineStr">
        <is>
          <t>Cost_Centre, Period</t>
        </is>
      </c>
      <c r="F20" s="92" t="inlineStr">
        <is>
          <t>Groovy</t>
        </is>
      </c>
      <c r="G20" s="90" t="inlineStr">
        <is>
          <t>S4</t>
        </is>
      </c>
      <c r="H20" s="98" t="inlineStr">
        <is>
          <t>Dev</t>
        </is>
      </c>
    </row>
    <row r="21" ht="32" customHeight="1">
      <c r="A21" s="94" t="n">
        <v>15</v>
      </c>
      <c r="B21" s="95" t="inlineStr">
        <is>
          <t>CUST_ICPSpread</t>
        </is>
      </c>
      <c r="C21" s="96" t="inlineStr">
        <is>
          <t>Custom Groovy</t>
        </is>
      </c>
      <c r="D21" s="96" t="inlineStr">
        <is>
          <t>Below-the-line ICP separation: splits controllable OPEX from enterprise Investment Cost Pool allocations per BOR design. ICP treated as non-controllable by dept planners</t>
        </is>
      </c>
      <c r="E21" s="96" t="inlineStr">
        <is>
          <t>Entity, Cost_Cat</t>
        </is>
      </c>
      <c r="F21" s="96" t="inlineStr">
        <is>
          <t>Groovy</t>
        </is>
      </c>
      <c r="G21" s="94" t="inlineStr">
        <is>
          <t>S4</t>
        </is>
      </c>
      <c r="H21" s="99" t="inlineStr">
        <is>
          <t>Dev</t>
        </is>
      </c>
    </row>
    <row r="22" ht="32" customHeight="1">
      <c r="A22" s="90" t="n">
        <v>16</v>
      </c>
      <c r="B22" s="91" t="inlineStr">
        <is>
          <t>CUST_BORAllocation</t>
        </is>
      </c>
      <c r="C22" s="92" t="inlineStr">
        <is>
          <t>Custom Groovy</t>
        </is>
      </c>
      <c r="D22" s="92" t="inlineStr">
        <is>
          <t>Book of Record pool → dept allocation. Keys: FTE% (workforce-related), AUM% (investment-related), Revenue% (business line). Allocation keys stored in assumption table</t>
        </is>
      </c>
      <c r="E22" s="92" t="inlineStr">
        <is>
          <t>Dept, Alloc_Key</t>
        </is>
      </c>
      <c r="F22" s="92" t="inlineStr">
        <is>
          <t>Groovy</t>
        </is>
      </c>
      <c r="G22" s="90" t="inlineStr">
        <is>
          <t>S4</t>
        </is>
      </c>
      <c r="H22" s="98" t="inlineStr">
        <is>
          <t>Dev</t>
        </is>
      </c>
    </row>
    <row r="23" ht="32" customHeight="1">
      <c r="A23" s="94" t="n">
        <v>17</v>
      </c>
      <c r="B23" s="95" t="inlineStr">
        <is>
          <t>CUST_OPEXDriverCalc</t>
        </is>
      </c>
      <c r="C23" s="96" t="inlineStr">
        <is>
          <t>Custom Groovy</t>
        </is>
      </c>
      <c r="D23" s="96" t="inlineStr">
        <is>
          <t>Non-comp G&amp;A: T&amp;E = FTE × per_head_TE; IT = FTE × per_head_IT; Facilities = Sqft × Cost_per_Sqft; Training = FTE × Training_Budget. All per-head rates in assumption table</t>
        </is>
      </c>
      <c r="E23" s="96" t="inlineStr">
        <is>
          <t>Cost_Cat, Dept</t>
        </is>
      </c>
      <c r="F23" s="96" t="inlineStr">
        <is>
          <t>Groovy</t>
        </is>
      </c>
      <c r="G23" s="94" t="inlineStr">
        <is>
          <t>S4</t>
        </is>
      </c>
      <c r="H23" s="99" t="inlineStr">
        <is>
          <t>Dev</t>
        </is>
      </c>
    </row>
    <row r="24" ht="32" customHeight="1">
      <c r="A24" s="90" t="n">
        <v>18</v>
      </c>
      <c r="B24" s="91" t="inlineStr">
        <is>
          <t>CUST_HCtoOPEXLink</t>
        </is>
      </c>
      <c r="C24" s="92" t="inlineStr">
        <is>
          <t>Custom Groovy</t>
        </is>
      </c>
      <c r="D24" s="92" t="inlineStr">
        <is>
          <t>Auto-populates OPEX G&amp;A non-comp costs from confirmed WFP headcount plan. Ensures single source of truth between WFP module and Financial Statement (FS) module. Triggers on WFP plan approval</t>
        </is>
      </c>
      <c r="E24" s="92" t="inlineStr">
        <is>
          <t>All WFP + FS dims</t>
        </is>
      </c>
      <c r="F24" s="92" t="inlineStr">
        <is>
          <t>Groovy</t>
        </is>
      </c>
      <c r="G24" s="90" t="inlineStr">
        <is>
          <t>S4</t>
        </is>
      </c>
      <c r="H24" s="98" t="inlineStr">
        <is>
          <t>Dev</t>
        </is>
      </c>
    </row>
    <row r="25" ht="32" customHeight="1">
      <c r="A25" s="94" t="n">
        <v>19</v>
      </c>
      <c r="B25" s="95" t="inlineStr">
        <is>
          <t>CUST_ScenarioVariance</t>
        </is>
      </c>
      <c r="C25" s="96" t="inlineStr">
        <is>
          <t>Custom Groovy</t>
        </is>
      </c>
      <c r="D25" s="96" t="inlineStr">
        <is>
          <t>Variance engine: Budget vs Forecast vs Actual. Outputs: $ variance, % variance, FTE variance. Triggers commentary prompt flag where threshold exceeded (&gt;5% or &gt;$50K)</t>
        </is>
      </c>
      <c r="E25" s="96" t="inlineStr">
        <is>
          <t>Scenario, Period</t>
        </is>
      </c>
      <c r="F25" s="96" t="inlineStr">
        <is>
          <t>Groovy</t>
        </is>
      </c>
      <c r="G25" s="94" t="inlineStr">
        <is>
          <t>S4</t>
        </is>
      </c>
      <c r="H25" s="99" t="inlineStr">
        <is>
          <t>Dev</t>
        </is>
      </c>
    </row>
    <row r="26" ht="32" customHeight="1">
      <c r="A26" s="90" t="n">
        <v>20</v>
      </c>
      <c r="B26" s="91" t="inlineStr">
        <is>
          <t>CUST_ParallelRunCheck</t>
        </is>
      </c>
      <c r="C26" s="92" t="inlineStr">
        <is>
          <t>Custom Groovy</t>
        </is>
      </c>
      <c r="D26" s="92" t="inlineStr">
        <is>
          <t>Parallel run validation: EPM output vs legacy spreadsheet at position level. Flags rows with $ variance &gt; $5K or FTE variance &gt; 2%. Produces reconciliation report for weekly checkpoint</t>
        </is>
      </c>
      <c r="E26" s="92" t="inlineStr">
        <is>
          <t>All</t>
        </is>
      </c>
      <c r="F26" s="92" t="inlineStr">
        <is>
          <t>Groovy</t>
        </is>
      </c>
      <c r="G26" s="90" t="inlineStr">
        <is>
          <t>S7 (SIT)</t>
        </is>
      </c>
      <c r="H26" s="100" t="inlineStr">
        <is>
          <t>Planned</t>
        </is>
      </c>
    </row>
  </sheetData>
  <mergeCells count="5">
    <mergeCell ref="A9:H9"/>
    <mergeCell ref="A3:H3"/>
    <mergeCell ref="A19:H19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1" customWidth="1" min="4" max="4"/>
    <col width="42" customWidth="1" min="5" max="5"/>
    <col width="18" customWidth="1" min="6" max="6"/>
  </cols>
  <sheetData>
    <row r="1" ht="30" customHeight="1">
      <c r="A1" s="87" t="inlineStr">
        <is>
          <t xml:space="preserve">  MILESTONE GATES, EXIT CRITERIA &amp; RACI MATRIX</t>
        </is>
      </c>
    </row>
    <row r="2" ht="16" customHeight="1">
      <c r="A2" s="88" t="inlineStr">
        <is>
          <t>Milestone</t>
        </is>
      </c>
      <c r="B2" s="88" t="inlineStr">
        <is>
          <t>Description</t>
        </is>
      </c>
      <c r="C2" s="88" t="inlineStr">
        <is>
          <t>Target Date</t>
        </is>
      </c>
      <c r="D2" s="88" t="inlineStr">
        <is>
          <t>Phase</t>
        </is>
      </c>
      <c r="E2" s="88" t="inlineStr">
        <is>
          <t>Exit Criteria</t>
        </is>
      </c>
      <c r="F2" s="88" t="inlineStr">
        <is>
          <t>Owner / Approver</t>
        </is>
      </c>
    </row>
    <row r="3" ht="40" customHeight="1">
      <c r="A3" s="101" t="inlineStr">
        <is>
          <t>▲ Design Gate</t>
        </is>
      </c>
      <c r="B3" s="102" t="inlineStr">
        <is>
          <t>KDDs, RTM, Future-State Architecture, Config Workbook &amp; Instance Strategy approved</t>
        </is>
      </c>
      <c r="C3" s="102" t="inlineStr">
        <is>
          <t>28-Feb-25</t>
        </is>
      </c>
      <c r="D3" s="102" t="inlineStr">
        <is>
          <t>Design &amp; Align</t>
        </is>
      </c>
      <c r="E3" s="102" t="inlineStr">
        <is>
          <t>All KDDs signed off; RTM baselined in tool; Config Workbook v1.0 approved; Instance Management Strategy confirmed; POC sign-off received</t>
        </is>
      </c>
      <c r="F3" s="102" t="inlineStr">
        <is>
          <t>Sponsor / CFO</t>
        </is>
      </c>
    </row>
    <row r="4" ht="40" customHeight="1">
      <c r="A4" s="103" t="inlineStr">
        <is>
          <t>▲ Build Entry</t>
        </is>
      </c>
      <c r="B4" s="104" t="inlineStr">
        <is>
          <t>POC validated; design freeze; sprint backlog baselined and RICE-prioritized</t>
        </is>
      </c>
      <c r="C4" s="104" t="inlineStr">
        <is>
          <t>03-Mar-25</t>
        </is>
      </c>
      <c r="D4" s="104" t="inlineStr">
        <is>
          <t>Build</t>
        </is>
      </c>
      <c r="E4" s="104" t="inlineStr">
        <is>
          <t>POC findings incorporated into design; sprint backlog groomed; environment DEV live; RTM traceability confirmed</t>
        </is>
      </c>
      <c r="F4" s="104" t="inlineStr">
        <is>
          <t>PwC PMO</t>
        </is>
      </c>
    </row>
    <row r="5" ht="40" customHeight="1">
      <c r="A5" s="101" t="inlineStr">
        <is>
          <t>▲ Sprint 1 Complete</t>
        </is>
      </c>
      <c r="B5" s="102" t="inlineStr">
        <is>
          <t>Foundation, environment, std calc rules &amp; position master</t>
        </is>
      </c>
      <c r="C5" s="102" t="inlineStr">
        <is>
          <t>28-Mar-25</t>
        </is>
      </c>
      <c r="D5" s="102" t="inlineStr">
        <is>
          <t>Sprint 1</t>
        </is>
      </c>
      <c r="E5" s="102" t="inlineStr">
        <is>
          <t>5 std rules run error-free; all dims loaded; PROD env provisioned; position master loaded (500+ positions); S1 playback accepted</t>
        </is>
      </c>
      <c r="F5" s="102" t="inlineStr">
        <is>
          <t>Finance / IT</t>
        </is>
      </c>
    </row>
    <row r="6" ht="40" customHeight="1">
      <c r="A6" s="103" t="inlineStr">
        <is>
          <t>▲ Sprint 2 Complete</t>
        </is>
      </c>
      <c r="B6" s="104" t="inlineStr">
        <is>
          <t>Integrations, workflows, historical data loaded</t>
        </is>
      </c>
      <c r="C6" s="104" t="inlineStr">
        <is>
          <t>25-Apr-25</t>
        </is>
      </c>
      <c r="D6" s="104" t="inlineStr">
        <is>
          <t>Sprint 2</t>
        </is>
      </c>
      <c r="E6" s="104" t="inlineStr">
        <is>
          <t>HRIS→EPM live; 3yr actuals reconciled; GL actuals loading; planning calendar functional; S2 playback accepted</t>
        </is>
      </c>
      <c r="F6" s="104" t="inlineStr">
        <is>
          <t>Finance / IT</t>
        </is>
      </c>
    </row>
    <row r="7" ht="40" customHeight="1">
      <c r="A7" s="101" t="inlineStr">
        <is>
          <t>▲ Sprint 3 Complete</t>
        </is>
      </c>
      <c r="B7" s="102" t="inlineStr">
        <is>
          <t>All compensation &amp; HC Groovy calc rules unit-tested</t>
        </is>
      </c>
      <c r="C7" s="102" t="inlineStr">
        <is>
          <t>30-May-25</t>
        </is>
      </c>
      <c r="D7" s="102" t="inlineStr">
        <is>
          <t>Sprint 3</t>
        </is>
      </c>
      <c r="E7" s="102" t="inlineStr">
        <is>
          <t>7 Groovy comp rules unit-tested; comp calc vs HR actuals ±1%; assumption tables complete; S3 playback accepted</t>
        </is>
      </c>
      <c r="F7" s="102" t="inlineStr">
        <is>
          <t>Finance / HR</t>
        </is>
      </c>
    </row>
    <row r="8" ht="40" customHeight="1">
      <c r="A8" s="103" t="inlineStr">
        <is>
          <t>▲ Sprint 4 Complete / SIT Entry</t>
        </is>
      </c>
      <c r="B8" s="104" t="inlineStr">
        <is>
          <t>All build complete; SIT scripts approved; TEST env loaded</t>
        </is>
      </c>
      <c r="C8" s="104" t="inlineStr">
        <is>
          <t>27-Jun-25</t>
        </is>
      </c>
      <c r="D8" s="104" t="inlineStr">
        <is>
          <t>Sprint 4</t>
        </is>
      </c>
      <c r="E8" s="104" t="inlineStr">
        <is>
          <t>20 calc rules complete; all forms/dashboards built; SIT scripts approved; TEST env data reconciled; S4 playback accepted</t>
        </is>
      </c>
      <c r="F8" s="104" t="inlineStr">
        <is>
          <t>PMO / Sponsor</t>
        </is>
      </c>
    </row>
    <row r="9" ht="40" customHeight="1">
      <c r="A9" s="101" t="inlineStr">
        <is>
          <t>▲ SIT Exit</t>
        </is>
      </c>
      <c r="B9" s="102" t="inlineStr">
        <is>
          <t>All 120+ test cases executed; 0 P1 defects open</t>
        </is>
      </c>
      <c r="C9" s="102" t="inlineStr">
        <is>
          <t>18-Jul-25</t>
        </is>
      </c>
      <c r="D9" s="102" t="inlineStr">
        <is>
          <t>SIT</t>
        </is>
      </c>
      <c r="E9" s="102" t="inlineStr">
        <is>
          <t>0 P1 defects open; P2 remediation plan agreed; UAT env data loaded; regression passed; RTM updated</t>
        </is>
      </c>
      <c r="F9" s="102" t="inlineStr">
        <is>
          <t>PwC PMO / Sponsor</t>
        </is>
      </c>
    </row>
    <row r="10" ht="40" customHeight="1">
      <c r="A10" s="103" t="inlineStr">
        <is>
          <t>▲ UAT Sign-Off</t>
        </is>
      </c>
      <c r="B10" s="104" t="inlineStr">
        <is>
          <t>Business-led validation complete; Go-Live authorized</t>
        </is>
      </c>
      <c r="C10" s="104" t="inlineStr">
        <is>
          <t>01-Aug-25</t>
        </is>
      </c>
      <c r="D10" s="104" t="inlineStr">
        <is>
          <t>UAT</t>
        </is>
      </c>
      <c r="E10" s="104" t="inlineStr">
        <is>
          <t>100% UAT scripts executed; 0 P1 open; P2 resolution plan agreed; CFO sign-off obtained; Go-Live checklist approved</t>
        </is>
      </c>
      <c r="F10" s="104" t="inlineStr">
        <is>
          <t>CFO / Sponsor</t>
        </is>
      </c>
    </row>
    <row r="11" ht="40" customHeight="1">
      <c r="A11" s="101" t="inlineStr">
        <is>
          <t>▲ Go-Live</t>
        </is>
      </c>
      <c r="B11" s="102" t="inlineStr">
        <is>
          <t>Oracle EPM WFP &amp; OPEX G&amp;A PRODUCTION live</t>
        </is>
      </c>
      <c r="C11" s="102" t="inlineStr">
        <is>
          <t>20-Aug-25</t>
        </is>
      </c>
      <c r="D11" s="102" t="inlineStr">
        <is>
          <t>Release</t>
        </is>
      </c>
      <c r="E11" s="102" t="inlineStr">
        <is>
          <t>PROD stable; all users active; EPM Automate scheduler running; hypercare war room open; no P1 blocking issues</t>
        </is>
      </c>
      <c r="F11" s="102" t="inlineStr">
        <is>
          <t>Sponsor / CIO / CFO</t>
        </is>
      </c>
    </row>
    <row r="12" ht="40" customHeight="1">
      <c r="A12" s="103" t="inlineStr">
        <is>
          <t>▲ Parallel Run Exit</t>
        </is>
      </c>
      <c r="B12" s="104" t="inlineStr">
        <is>
          <t>Legacy system decommission authorized</t>
        </is>
      </c>
      <c r="C12" s="104" t="inlineStr">
        <is>
          <t>21-Oct-25</t>
        </is>
      </c>
      <c r="D12" s="104" t="inlineStr">
        <is>
          <t>Parallel Run</t>
        </is>
      </c>
      <c r="E12" s="104" t="inlineStr">
        <is>
          <t>8 weekly checkpoint reports complete; 0 unresolved P1 variances; CFO parallel run sign-off; legacy decommission plan approved</t>
        </is>
      </c>
      <c r="F12" s="104" t="inlineStr">
        <is>
          <t>CFO / CIO / Sponsor</t>
        </is>
      </c>
    </row>
    <row r="13" ht="40" customHeight="1">
      <c r="A13" s="101" t="inlineStr">
        <is>
          <t>▲ Steady-State</t>
        </is>
      </c>
      <c r="B13" s="102" t="inlineStr">
        <is>
          <t>Knowledge transferred; AMS transition complete</t>
        </is>
      </c>
      <c r="C13" s="102" t="inlineStr">
        <is>
          <t>07-Nov-25</t>
        </is>
      </c>
      <c r="D13" s="102" t="inlineStr">
        <is>
          <t>Evolve</t>
        </is>
      </c>
      <c r="E13" s="102" t="inlineStr">
        <is>
          <t>Run-books handed over; IT support team trained; Release 1b backlog groomed; PIR complete</t>
        </is>
      </c>
      <c r="F13" s="102" t="inlineStr">
        <is>
          <t>CIO / IT Mgr</t>
        </is>
      </c>
    </row>
    <row r="16" ht="18" customHeight="1">
      <c r="A16" s="105" t="inlineStr">
        <is>
          <t>RACI MATRIX — KEY WORKSTREAMS</t>
        </is>
      </c>
    </row>
    <row r="17" ht="16" customHeight="1">
      <c r="A17" s="106" t="inlineStr">
        <is>
          <t>Workstream</t>
        </is>
      </c>
      <c r="B17" s="106" t="inlineStr">
        <is>
          <t>PwC Lead</t>
        </is>
      </c>
      <c r="C17" s="106" t="inlineStr">
        <is>
          <t>Client Sponsor</t>
        </is>
      </c>
      <c r="D17" s="106" t="inlineStr">
        <is>
          <t>CFO / FP&amp;A</t>
        </is>
      </c>
      <c r="E17" s="106" t="inlineStr">
        <is>
          <t>IT / Infra</t>
        </is>
      </c>
      <c r="F17" s="106" t="inlineStr">
        <is>
          <t>HR / HRBP</t>
        </is>
      </c>
    </row>
    <row r="18" ht="14" customHeight="1">
      <c r="A18" s="107" t="inlineStr">
        <is>
          <t>Design &amp; Align</t>
        </is>
      </c>
      <c r="B18" s="108" t="inlineStr">
        <is>
          <t>R/A</t>
        </is>
      </c>
      <c r="C18" s="109" t="inlineStr">
        <is>
          <t>A</t>
        </is>
      </c>
      <c r="D18" s="110" t="inlineStr">
        <is>
          <t>C</t>
        </is>
      </c>
      <c r="E18" s="111" t="inlineStr">
        <is>
          <t>I</t>
        </is>
      </c>
      <c r="F18" s="110" t="inlineStr">
        <is>
          <t>C</t>
        </is>
      </c>
    </row>
    <row r="19" ht="14" customHeight="1">
      <c r="A19" s="112" t="inlineStr">
        <is>
          <t>POC Build &amp; Validation</t>
        </is>
      </c>
      <c r="B19" s="108" t="inlineStr">
        <is>
          <t>R/A</t>
        </is>
      </c>
      <c r="C19" s="110" t="inlineStr">
        <is>
          <t>C</t>
        </is>
      </c>
      <c r="D19" s="110" t="inlineStr">
        <is>
          <t>C</t>
        </is>
      </c>
      <c r="E19" s="111" t="inlineStr">
        <is>
          <t>I</t>
        </is>
      </c>
      <c r="F19" s="111" t="inlineStr">
        <is>
          <t>I</t>
        </is>
      </c>
    </row>
    <row r="20" ht="14" customHeight="1">
      <c r="A20" s="107" t="inlineStr">
        <is>
          <t>Sprint 1: Env &amp; Foundation</t>
        </is>
      </c>
      <c r="B20" s="113" t="inlineStr">
        <is>
          <t>R</t>
        </is>
      </c>
      <c r="C20" s="111" t="inlineStr">
        <is>
          <t>I</t>
        </is>
      </c>
      <c r="D20" s="111" t="inlineStr">
        <is>
          <t>I</t>
        </is>
      </c>
      <c r="E20" s="108" t="inlineStr">
        <is>
          <t>A/R</t>
        </is>
      </c>
      <c r="F20" s="111" t="inlineStr">
        <is>
          <t>I</t>
        </is>
      </c>
    </row>
    <row r="21" ht="14" customHeight="1">
      <c r="A21" s="112" t="inlineStr">
        <is>
          <t>Sprint 2: Workflows &amp; Integration</t>
        </is>
      </c>
      <c r="B21" s="113" t="inlineStr">
        <is>
          <t>R</t>
        </is>
      </c>
      <c r="C21" s="109" t="inlineStr">
        <is>
          <t>A</t>
        </is>
      </c>
      <c r="D21" s="110" t="inlineStr">
        <is>
          <t>C</t>
        </is>
      </c>
      <c r="E21" s="108" t="inlineStr">
        <is>
          <t>A/R</t>
        </is>
      </c>
      <c r="F21" s="110" t="inlineStr">
        <is>
          <t>C</t>
        </is>
      </c>
    </row>
    <row r="22" ht="14" customHeight="1">
      <c r="A22" s="107" t="inlineStr">
        <is>
          <t>Sprint 3: Groovy Calc Rules</t>
        </is>
      </c>
      <c r="B22" s="108" t="inlineStr">
        <is>
          <t>R/A</t>
        </is>
      </c>
      <c r="C22" s="111" t="inlineStr">
        <is>
          <t>I</t>
        </is>
      </c>
      <c r="D22" s="110" t="inlineStr">
        <is>
          <t>C</t>
        </is>
      </c>
      <c r="E22" s="111" t="inlineStr">
        <is>
          <t>I</t>
        </is>
      </c>
      <c r="F22" s="111" t="inlineStr">
        <is>
          <t>I</t>
        </is>
      </c>
    </row>
    <row r="23" ht="14" customHeight="1">
      <c r="A23" s="112" t="inlineStr">
        <is>
          <t>Sprint 4: Reporting &amp; SIT Prep</t>
        </is>
      </c>
      <c r="B23" s="113" t="inlineStr">
        <is>
          <t>R</t>
        </is>
      </c>
      <c r="C23" s="110" t="inlineStr">
        <is>
          <t>C</t>
        </is>
      </c>
      <c r="D23" s="109" t="inlineStr">
        <is>
          <t>A</t>
        </is>
      </c>
      <c r="E23" s="110" t="inlineStr">
        <is>
          <t>C</t>
        </is>
      </c>
      <c r="F23" s="111" t="inlineStr">
        <is>
          <t>I</t>
        </is>
      </c>
    </row>
    <row r="24" ht="14" customHeight="1">
      <c r="A24" s="107" t="inlineStr">
        <is>
          <t>SIT Execution</t>
        </is>
      </c>
      <c r="B24" s="108" t="inlineStr">
        <is>
          <t>R/A</t>
        </is>
      </c>
      <c r="C24" s="111" t="inlineStr">
        <is>
          <t>I</t>
        </is>
      </c>
      <c r="D24" s="110" t="inlineStr">
        <is>
          <t>C</t>
        </is>
      </c>
      <c r="E24" s="110" t="inlineStr">
        <is>
          <t>C</t>
        </is>
      </c>
      <c r="F24" s="111" t="inlineStr">
        <is>
          <t>I</t>
        </is>
      </c>
    </row>
    <row r="25" ht="14" customHeight="1">
      <c r="A25" s="112" t="inlineStr">
        <is>
          <t>UAT Execution</t>
        </is>
      </c>
      <c r="B25" s="110" t="inlineStr">
        <is>
          <t>C</t>
        </is>
      </c>
      <c r="C25" s="109" t="inlineStr">
        <is>
          <t>A</t>
        </is>
      </c>
      <c r="D25" s="113" t="inlineStr">
        <is>
          <t>R</t>
        </is>
      </c>
      <c r="E25" s="110" t="inlineStr">
        <is>
          <t>C</t>
        </is>
      </c>
      <c r="F25" s="113" t="inlineStr">
        <is>
          <t>R</t>
        </is>
      </c>
    </row>
    <row r="26" ht="14" customHeight="1">
      <c r="A26" s="107" t="inlineStr">
        <is>
          <t>Training &amp; OCM</t>
        </is>
      </c>
      <c r="B26" s="113" t="inlineStr">
        <is>
          <t>R</t>
        </is>
      </c>
      <c r="C26" s="110" t="inlineStr">
        <is>
          <t>C</t>
        </is>
      </c>
      <c r="D26" s="109" t="inlineStr">
        <is>
          <t>A</t>
        </is>
      </c>
      <c r="E26" s="111" t="inlineStr">
        <is>
          <t>I</t>
        </is>
      </c>
      <c r="F26" s="110" t="inlineStr">
        <is>
          <t>C</t>
        </is>
      </c>
    </row>
    <row r="27" ht="14" customHeight="1">
      <c r="A27" s="112" t="inlineStr">
        <is>
          <t>Cutover &amp; Go-Live</t>
        </is>
      </c>
      <c r="B27" s="113" t="inlineStr">
        <is>
          <t>R</t>
        </is>
      </c>
      <c r="C27" s="109" t="inlineStr">
        <is>
          <t>A</t>
        </is>
      </c>
      <c r="D27" s="110" t="inlineStr">
        <is>
          <t>C</t>
        </is>
      </c>
      <c r="E27" s="113" t="inlineStr">
        <is>
          <t>R</t>
        </is>
      </c>
      <c r="F27" s="110" t="inlineStr">
        <is>
          <t>C</t>
        </is>
      </c>
    </row>
    <row r="28" ht="14" customHeight="1">
      <c r="A28" s="107" t="inlineStr">
        <is>
          <t>Parallel Run Execution</t>
        </is>
      </c>
      <c r="B28" s="113" t="inlineStr">
        <is>
          <t>R</t>
        </is>
      </c>
      <c r="C28" s="109" t="inlineStr">
        <is>
          <t>A</t>
        </is>
      </c>
      <c r="D28" s="113" t="inlineStr">
        <is>
          <t>R</t>
        </is>
      </c>
      <c r="E28" s="110" t="inlineStr">
        <is>
          <t>C</t>
        </is>
      </c>
      <c r="F28" s="111" t="inlineStr">
        <is>
          <t>I</t>
        </is>
      </c>
    </row>
    <row r="29" ht="14" customHeight="1">
      <c r="A29" s="112" t="inlineStr">
        <is>
          <t>Parallel Run Governance</t>
        </is>
      </c>
      <c r="B29" s="110" t="inlineStr">
        <is>
          <t>C</t>
        </is>
      </c>
      <c r="C29" s="109" t="inlineStr">
        <is>
          <t>A</t>
        </is>
      </c>
      <c r="D29" s="108" t="inlineStr">
        <is>
          <t>A/R</t>
        </is>
      </c>
      <c r="E29" s="111" t="inlineStr">
        <is>
          <t>I</t>
        </is>
      </c>
      <c r="F29" s="111" t="inlineStr">
        <is>
          <t>I</t>
        </is>
      </c>
    </row>
    <row r="30" ht="14" customHeight="1">
      <c r="A30" s="107" t="inlineStr">
        <is>
          <t>Evolve / Hypercare Support</t>
        </is>
      </c>
      <c r="B30" s="108" t="inlineStr">
        <is>
          <t>R/A</t>
        </is>
      </c>
      <c r="C30" s="111" t="inlineStr">
        <is>
          <t>I</t>
        </is>
      </c>
      <c r="D30" s="111" t="inlineStr">
        <is>
          <t>I</t>
        </is>
      </c>
      <c r="E30" s="110" t="inlineStr">
        <is>
          <t>C</t>
        </is>
      </c>
      <c r="F30" s="111" t="inlineStr">
        <is>
          <t>I</t>
        </is>
      </c>
    </row>
    <row r="31" ht="14" customHeight="1">
      <c r="A31" s="112" t="inlineStr">
        <is>
          <t>Knowledge Transfer to IT</t>
        </is>
      </c>
      <c r="B31" s="113" t="inlineStr">
        <is>
          <t>R → C</t>
        </is>
      </c>
      <c r="C31" s="111" t="inlineStr">
        <is>
          <t>I</t>
        </is>
      </c>
      <c r="D31" s="111" t="inlineStr">
        <is>
          <t>I</t>
        </is>
      </c>
      <c r="E31" s="108" t="inlineStr">
        <is>
          <t>A/R</t>
        </is>
      </c>
      <c r="F31" s="111" t="inlineStr">
        <is>
          <t>I</t>
        </is>
      </c>
    </row>
    <row r="32" ht="14" customHeight="1">
      <c r="A32" s="107" t="inlineStr">
        <is>
          <t>Release 1b Scoping</t>
        </is>
      </c>
      <c r="B32" s="113" t="inlineStr">
        <is>
          <t>R</t>
        </is>
      </c>
      <c r="C32" s="110" t="inlineStr">
        <is>
          <t>C</t>
        </is>
      </c>
      <c r="D32" s="109" t="inlineStr">
        <is>
          <t>A</t>
        </is>
      </c>
      <c r="E32" s="110" t="inlineStr">
        <is>
          <t>C</t>
        </is>
      </c>
      <c r="F32" s="111" t="inlineStr">
        <is>
          <t>I</t>
        </is>
      </c>
    </row>
    <row r="34">
      <c r="A34" s="114" t="inlineStr">
        <is>
          <t>R = Responsible  |  A = Accountable  |  C = Consulted  |  I = Informed  |  R/A = Responsible &amp; Accountable</t>
        </is>
      </c>
    </row>
  </sheetData>
  <mergeCells count="3">
    <mergeCell ref="A16:F16"/>
    <mergeCell ref="A1:F1"/>
    <mergeCell ref="A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2026-03-09T01:32:40Z</dcterms:created>
  <dcterms:modified xmlns:dcterms="http://purl.org/dc/terms/" xmlns:xsi="http://www.w3.org/2001/XMLSchema-instance" xsi:type="dcterms:W3CDTF">2026-03-09T01:32:40Z</dcterms:modified>
</cp:coreProperties>
</file>